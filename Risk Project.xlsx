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ifra uni\ifra_quant\"/>
    </mc:Choice>
  </mc:AlternateContent>
  <bookViews>
    <workbookView xWindow="0" yWindow="0" windowWidth="20490" windowHeight="7620"/>
  </bookViews>
  <sheets>
    <sheet name="Microsoft Stock Price History (" sheetId="1" r:id="rId1"/>
  </sheets>
  <calcPr calcId="162913"/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6" i="1"/>
  <c r="J10" i="1" l="1"/>
  <c r="J8" i="1"/>
  <c r="D163" i="1" s="1"/>
  <c r="E163" i="1" s="1"/>
  <c r="D127" i="1" l="1"/>
  <c r="E127" i="1" s="1"/>
  <c r="D160" i="1"/>
  <c r="E160" i="1" s="1"/>
  <c r="D218" i="1"/>
  <c r="E218" i="1" s="1"/>
  <c r="D92" i="1"/>
  <c r="E92" i="1" s="1"/>
  <c r="D202" i="1"/>
  <c r="E202" i="1" s="1"/>
  <c r="D175" i="1"/>
  <c r="E175" i="1" s="1"/>
  <c r="D94" i="1"/>
  <c r="E94" i="1" s="1"/>
  <c r="D172" i="1"/>
  <c r="E172" i="1" s="1"/>
  <c r="D19" i="1"/>
  <c r="E19" i="1" s="1"/>
  <c r="D111" i="1"/>
  <c r="E111" i="1" s="1"/>
  <c r="D128" i="1"/>
  <c r="E128" i="1" s="1"/>
  <c r="D28" i="1"/>
  <c r="E28" i="1" s="1"/>
  <c r="D34" i="1"/>
  <c r="E34" i="1" s="1"/>
  <c r="D55" i="1"/>
  <c r="E55" i="1" s="1"/>
  <c r="D32" i="1"/>
  <c r="E32" i="1" s="1"/>
  <c r="D132" i="1"/>
  <c r="E132" i="1" s="1"/>
  <c r="D75" i="1"/>
  <c r="E75" i="1" s="1"/>
  <c r="D147" i="1"/>
  <c r="E147" i="1" s="1"/>
  <c r="D79" i="1"/>
  <c r="E79" i="1" s="1"/>
  <c r="D143" i="1"/>
  <c r="E143" i="1" s="1"/>
  <c r="D64" i="1"/>
  <c r="E64" i="1" s="1"/>
  <c r="D30" i="1"/>
  <c r="E30" i="1" s="1"/>
  <c r="D164" i="1"/>
  <c r="E164" i="1" s="1"/>
  <c r="D44" i="1"/>
  <c r="E44" i="1" s="1"/>
  <c r="D139" i="1"/>
  <c r="E139" i="1" s="1"/>
  <c r="D166" i="1"/>
  <c r="E166" i="1" s="1"/>
  <c r="D242" i="1"/>
  <c r="E242" i="1" s="1"/>
  <c r="D18" i="1"/>
  <c r="E18" i="1" s="1"/>
  <c r="D95" i="1"/>
  <c r="E95" i="1" s="1"/>
  <c r="D159" i="1"/>
  <c r="E159" i="1" s="1"/>
  <c r="D96" i="1"/>
  <c r="E96" i="1" s="1"/>
  <c r="D62" i="1"/>
  <c r="E62" i="1" s="1"/>
  <c r="D186" i="1"/>
  <c r="E186" i="1" s="1"/>
  <c r="D118" i="1"/>
  <c r="E118" i="1" s="1"/>
  <c r="D230" i="1"/>
  <c r="E230" i="1" s="1"/>
  <c r="D131" i="1"/>
  <c r="E131" i="1" s="1"/>
  <c r="D7" i="1"/>
  <c r="E7" i="1" s="1"/>
  <c r="D11" i="1"/>
  <c r="E11" i="1" s="1"/>
  <c r="D10" i="1"/>
  <c r="E10" i="1" s="1"/>
  <c r="D42" i="1"/>
  <c r="E42" i="1" s="1"/>
  <c r="D58" i="1"/>
  <c r="E58" i="1" s="1"/>
  <c r="D74" i="1"/>
  <c r="E74" i="1" s="1"/>
  <c r="D110" i="1"/>
  <c r="E110" i="1" s="1"/>
  <c r="D13" i="1"/>
  <c r="E13" i="1" s="1"/>
  <c r="D21" i="1"/>
  <c r="E21" i="1" s="1"/>
  <c r="D29" i="1"/>
  <c r="E29" i="1" s="1"/>
  <c r="D37" i="1"/>
  <c r="E37" i="1" s="1"/>
  <c r="D45" i="1"/>
  <c r="E45" i="1" s="1"/>
  <c r="D53" i="1"/>
  <c r="E53" i="1" s="1"/>
  <c r="D61" i="1"/>
  <c r="E61" i="1" s="1"/>
  <c r="D69" i="1"/>
  <c r="E69" i="1" s="1"/>
  <c r="D77" i="1"/>
  <c r="E77" i="1" s="1"/>
  <c r="D85" i="1"/>
  <c r="E85" i="1" s="1"/>
  <c r="D93" i="1"/>
  <c r="E93" i="1" s="1"/>
  <c r="D101" i="1"/>
  <c r="E101" i="1" s="1"/>
  <c r="D109" i="1"/>
  <c r="E109" i="1" s="1"/>
  <c r="D117" i="1"/>
  <c r="E117" i="1" s="1"/>
  <c r="D125" i="1"/>
  <c r="E125" i="1" s="1"/>
  <c r="D133" i="1"/>
  <c r="E133" i="1" s="1"/>
  <c r="D141" i="1"/>
  <c r="E141" i="1" s="1"/>
  <c r="D149" i="1"/>
  <c r="E149" i="1" s="1"/>
  <c r="D157" i="1"/>
  <c r="E157" i="1" s="1"/>
  <c r="D165" i="1"/>
  <c r="E165" i="1" s="1"/>
  <c r="D173" i="1"/>
  <c r="E173" i="1" s="1"/>
  <c r="D177" i="1"/>
  <c r="E177" i="1" s="1"/>
  <c r="D181" i="1"/>
  <c r="E181" i="1" s="1"/>
  <c r="D185" i="1"/>
  <c r="E185" i="1" s="1"/>
  <c r="D189" i="1"/>
  <c r="E189" i="1" s="1"/>
  <c r="D193" i="1"/>
  <c r="E193" i="1" s="1"/>
  <c r="D197" i="1"/>
  <c r="E197" i="1" s="1"/>
  <c r="D201" i="1"/>
  <c r="E201" i="1" s="1"/>
  <c r="D205" i="1"/>
  <c r="E205" i="1" s="1"/>
  <c r="D209" i="1"/>
  <c r="E209" i="1" s="1"/>
  <c r="D213" i="1"/>
  <c r="E213" i="1" s="1"/>
  <c r="D217" i="1"/>
  <c r="E217" i="1" s="1"/>
  <c r="D176" i="1"/>
  <c r="E176" i="1" s="1"/>
  <c r="D180" i="1"/>
  <c r="E180" i="1" s="1"/>
  <c r="D184" i="1"/>
  <c r="E184" i="1" s="1"/>
  <c r="D188" i="1"/>
  <c r="E188" i="1" s="1"/>
  <c r="D192" i="1"/>
  <c r="E192" i="1" s="1"/>
  <c r="D196" i="1"/>
  <c r="E196" i="1" s="1"/>
  <c r="D200" i="1"/>
  <c r="E200" i="1" s="1"/>
  <c r="D204" i="1"/>
  <c r="E204" i="1" s="1"/>
  <c r="D208" i="1"/>
  <c r="E208" i="1" s="1"/>
  <c r="D212" i="1"/>
  <c r="E212" i="1" s="1"/>
  <c r="D216" i="1"/>
  <c r="E216" i="1" s="1"/>
  <c r="D187" i="1"/>
  <c r="E187" i="1" s="1"/>
  <c r="D195" i="1"/>
  <c r="E195" i="1" s="1"/>
  <c r="D203" i="1"/>
  <c r="E203" i="1" s="1"/>
  <c r="D211" i="1"/>
  <c r="E211" i="1" s="1"/>
  <c r="D219" i="1"/>
  <c r="E219" i="1" s="1"/>
  <c r="D224" i="1"/>
  <c r="E224" i="1" s="1"/>
  <c r="D227" i="1"/>
  <c r="E227" i="1" s="1"/>
  <c r="D232" i="1"/>
  <c r="E232" i="1" s="1"/>
  <c r="D235" i="1"/>
  <c r="E235" i="1" s="1"/>
  <c r="D240" i="1"/>
  <c r="E240" i="1" s="1"/>
  <c r="D243" i="1"/>
  <c r="E243" i="1" s="1"/>
  <c r="D248" i="1"/>
  <c r="E248" i="1" s="1"/>
  <c r="D251" i="1"/>
  <c r="E251" i="1" s="1"/>
  <c r="D17" i="1"/>
  <c r="E17" i="1" s="1"/>
  <c r="D33" i="1"/>
  <c r="E33" i="1" s="1"/>
  <c r="D49" i="1"/>
  <c r="E49" i="1" s="1"/>
  <c r="D65" i="1"/>
  <c r="E65" i="1" s="1"/>
  <c r="D81" i="1"/>
  <c r="E81" i="1" s="1"/>
  <c r="D97" i="1"/>
  <c r="E97" i="1" s="1"/>
  <c r="D113" i="1"/>
  <c r="E113" i="1" s="1"/>
  <c r="D129" i="1"/>
  <c r="E129" i="1" s="1"/>
  <c r="D145" i="1"/>
  <c r="E145" i="1" s="1"/>
  <c r="D161" i="1"/>
  <c r="E161" i="1" s="1"/>
  <c r="D225" i="1"/>
  <c r="E225" i="1" s="1"/>
  <c r="D233" i="1"/>
  <c r="E233" i="1" s="1"/>
  <c r="D241" i="1"/>
  <c r="E241" i="1" s="1"/>
  <c r="D249" i="1"/>
  <c r="E249" i="1" s="1"/>
  <c r="D179" i="1"/>
  <c r="E179" i="1" s="1"/>
  <c r="D183" i="1"/>
  <c r="E183" i="1" s="1"/>
  <c r="D191" i="1"/>
  <c r="E191" i="1" s="1"/>
  <c r="D199" i="1"/>
  <c r="E199" i="1" s="1"/>
  <c r="D207" i="1"/>
  <c r="E207" i="1" s="1"/>
  <c r="D215" i="1"/>
  <c r="E215" i="1" s="1"/>
  <c r="D121" i="1"/>
  <c r="E121" i="1" s="1"/>
  <c r="D229" i="1"/>
  <c r="E229" i="1" s="1"/>
  <c r="D245" i="1"/>
  <c r="E245" i="1" s="1"/>
  <c r="D9" i="1"/>
  <c r="E9" i="1" s="1"/>
  <c r="D73" i="1"/>
  <c r="E73" i="1" s="1"/>
  <c r="D137" i="1"/>
  <c r="E137" i="1" s="1"/>
  <c r="D221" i="1"/>
  <c r="E221" i="1" s="1"/>
  <c r="D253" i="1"/>
  <c r="E253" i="1" s="1"/>
  <c r="D25" i="1"/>
  <c r="E25" i="1" s="1"/>
  <c r="D57" i="1"/>
  <c r="E57" i="1" s="1"/>
  <c r="D89" i="1"/>
  <c r="E89" i="1" s="1"/>
  <c r="D153" i="1"/>
  <c r="E153" i="1" s="1"/>
  <c r="D41" i="1"/>
  <c r="E41" i="1" s="1"/>
  <c r="D105" i="1"/>
  <c r="E105" i="1" s="1"/>
  <c r="D169" i="1"/>
  <c r="E169" i="1" s="1"/>
  <c r="D237" i="1"/>
  <c r="E237" i="1" s="1"/>
  <c r="D47" i="1"/>
  <c r="E47" i="1" s="1"/>
  <c r="D66" i="1"/>
  <c r="E66" i="1" s="1"/>
  <c r="D87" i="1"/>
  <c r="E87" i="1" s="1"/>
  <c r="D103" i="1"/>
  <c r="E103" i="1" s="1"/>
  <c r="D119" i="1"/>
  <c r="E119" i="1" s="1"/>
  <c r="D135" i="1"/>
  <c r="E135" i="1" s="1"/>
  <c r="D151" i="1"/>
  <c r="E151" i="1" s="1"/>
  <c r="D167" i="1"/>
  <c r="E167" i="1" s="1"/>
  <c r="D16" i="1"/>
  <c r="E16" i="1" s="1"/>
  <c r="D48" i="1"/>
  <c r="E48" i="1" s="1"/>
  <c r="D80" i="1"/>
  <c r="E80" i="1" s="1"/>
  <c r="D112" i="1"/>
  <c r="E112" i="1" s="1"/>
  <c r="D144" i="1"/>
  <c r="E144" i="1" s="1"/>
  <c r="D14" i="1"/>
  <c r="E14" i="1" s="1"/>
  <c r="D46" i="1"/>
  <c r="E46" i="1" s="1"/>
  <c r="D78" i="1"/>
  <c r="E78" i="1" s="1"/>
  <c r="D116" i="1"/>
  <c r="E116" i="1" s="1"/>
  <c r="D148" i="1"/>
  <c r="E148" i="1" s="1"/>
  <c r="D178" i="1"/>
  <c r="E178" i="1" s="1"/>
  <c r="D194" i="1"/>
  <c r="E194" i="1" s="1"/>
  <c r="D210" i="1"/>
  <c r="E210" i="1" s="1"/>
  <c r="D12" i="1"/>
  <c r="E12" i="1" s="1"/>
  <c r="D76" i="1"/>
  <c r="E76" i="1" s="1"/>
  <c r="D150" i="1"/>
  <c r="E150" i="1" s="1"/>
  <c r="D43" i="1"/>
  <c r="E43" i="1" s="1"/>
  <c r="D107" i="1"/>
  <c r="E107" i="1" s="1"/>
  <c r="D171" i="1"/>
  <c r="E171" i="1" s="1"/>
  <c r="D246" i="1"/>
  <c r="E246" i="1" s="1"/>
  <c r="D60" i="1"/>
  <c r="E60" i="1" s="1"/>
  <c r="D134" i="1"/>
  <c r="E134" i="1" s="1"/>
  <c r="D239" i="1"/>
  <c r="E239" i="1" s="1"/>
  <c r="D234" i="1"/>
  <c r="E234" i="1" s="1"/>
  <c r="D83" i="1"/>
  <c r="E83" i="1" s="1"/>
  <c r="D226" i="1"/>
  <c r="E226" i="1" s="1"/>
  <c r="D35" i="1"/>
  <c r="E35" i="1" s="1"/>
  <c r="D247" i="1"/>
  <c r="E247" i="1" s="1"/>
  <c r="D23" i="1"/>
  <c r="E23" i="1" s="1"/>
  <c r="D39" i="1"/>
  <c r="E39" i="1" s="1"/>
  <c r="D63" i="1"/>
  <c r="E63" i="1" s="1"/>
  <c r="D82" i="1"/>
  <c r="E82" i="1" s="1"/>
  <c r="D98" i="1"/>
  <c r="E98" i="1" s="1"/>
  <c r="D114" i="1"/>
  <c r="E114" i="1" s="1"/>
  <c r="D130" i="1"/>
  <c r="E130" i="1" s="1"/>
  <c r="D146" i="1"/>
  <c r="E146" i="1" s="1"/>
  <c r="D162" i="1"/>
  <c r="E162" i="1" s="1"/>
  <c r="D8" i="1"/>
  <c r="E8" i="1" s="1"/>
  <c r="D40" i="1"/>
  <c r="E40" i="1" s="1"/>
  <c r="D72" i="1"/>
  <c r="E72" i="1" s="1"/>
  <c r="D104" i="1"/>
  <c r="E104" i="1" s="1"/>
  <c r="D136" i="1"/>
  <c r="E136" i="1" s="1"/>
  <c r="D168" i="1"/>
  <c r="E168" i="1" s="1"/>
  <c r="D36" i="1"/>
  <c r="E36" i="1" s="1"/>
  <c r="D68" i="1"/>
  <c r="E68" i="1" s="1"/>
  <c r="D100" i="1"/>
  <c r="E100" i="1" s="1"/>
  <c r="D142" i="1"/>
  <c r="E142" i="1" s="1"/>
  <c r="D174" i="1"/>
  <c r="E174" i="1" s="1"/>
  <c r="D190" i="1"/>
  <c r="E190" i="1" s="1"/>
  <c r="D206" i="1"/>
  <c r="E206" i="1" s="1"/>
  <c r="D254" i="1"/>
  <c r="E254" i="1" s="1"/>
  <c r="D70" i="1"/>
  <c r="E70" i="1" s="1"/>
  <c r="D124" i="1"/>
  <c r="E124" i="1" s="1"/>
  <c r="D27" i="1"/>
  <c r="E27" i="1" s="1"/>
  <c r="D91" i="1"/>
  <c r="E91" i="1" s="1"/>
  <c r="D155" i="1"/>
  <c r="E155" i="1" s="1"/>
  <c r="D238" i="1"/>
  <c r="E238" i="1" s="1"/>
  <c r="D54" i="1"/>
  <c r="E54" i="1" s="1"/>
  <c r="D108" i="1"/>
  <c r="E108" i="1" s="1"/>
  <c r="D220" i="1"/>
  <c r="E220" i="1" s="1"/>
  <c r="D228" i="1"/>
  <c r="E228" i="1" s="1"/>
  <c r="D51" i="1"/>
  <c r="E51" i="1" s="1"/>
  <c r="D223" i="1"/>
  <c r="E223" i="1" s="1"/>
  <c r="D252" i="1"/>
  <c r="E252" i="1" s="1"/>
  <c r="D231" i="1"/>
  <c r="E231" i="1" s="1"/>
  <c r="D26" i="1"/>
  <c r="E26" i="1" s="1"/>
  <c r="D15" i="1"/>
  <c r="E15" i="1" s="1"/>
  <c r="D31" i="1"/>
  <c r="E31" i="1" s="1"/>
  <c r="D50" i="1"/>
  <c r="E50" i="1" s="1"/>
  <c r="D71" i="1"/>
  <c r="E71" i="1" s="1"/>
  <c r="D90" i="1"/>
  <c r="E90" i="1" s="1"/>
  <c r="D106" i="1"/>
  <c r="E106" i="1" s="1"/>
  <c r="D122" i="1"/>
  <c r="E122" i="1" s="1"/>
  <c r="D138" i="1"/>
  <c r="E138" i="1" s="1"/>
  <c r="D154" i="1"/>
  <c r="E154" i="1" s="1"/>
  <c r="D170" i="1"/>
  <c r="E170" i="1" s="1"/>
  <c r="D24" i="1"/>
  <c r="E24" i="1" s="1"/>
  <c r="D56" i="1"/>
  <c r="E56" i="1" s="1"/>
  <c r="D88" i="1"/>
  <c r="E88" i="1" s="1"/>
  <c r="D120" i="1"/>
  <c r="E120" i="1" s="1"/>
  <c r="D152" i="1"/>
  <c r="E152" i="1" s="1"/>
  <c r="D20" i="1"/>
  <c r="E20" i="1" s="1"/>
  <c r="D52" i="1"/>
  <c r="E52" i="1" s="1"/>
  <c r="D84" i="1"/>
  <c r="E84" i="1" s="1"/>
  <c r="D126" i="1"/>
  <c r="E126" i="1" s="1"/>
  <c r="D158" i="1"/>
  <c r="E158" i="1" s="1"/>
  <c r="D182" i="1"/>
  <c r="E182" i="1" s="1"/>
  <c r="D198" i="1"/>
  <c r="E198" i="1" s="1"/>
  <c r="D214" i="1"/>
  <c r="E214" i="1" s="1"/>
  <c r="D38" i="1"/>
  <c r="E38" i="1" s="1"/>
  <c r="D102" i="1"/>
  <c r="E102" i="1" s="1"/>
  <c r="D156" i="1"/>
  <c r="E156" i="1" s="1"/>
  <c r="D59" i="1"/>
  <c r="E59" i="1" s="1"/>
  <c r="D123" i="1"/>
  <c r="E123" i="1" s="1"/>
  <c r="D222" i="1"/>
  <c r="E222" i="1" s="1"/>
  <c r="D22" i="1"/>
  <c r="E22" i="1" s="1"/>
  <c r="D86" i="1"/>
  <c r="E86" i="1" s="1"/>
  <c r="D140" i="1"/>
  <c r="E140" i="1" s="1"/>
  <c r="D67" i="1"/>
  <c r="E67" i="1" s="1"/>
  <c r="D244" i="1"/>
  <c r="E244" i="1" s="1"/>
  <c r="D115" i="1"/>
  <c r="E115" i="1" s="1"/>
  <c r="D236" i="1"/>
  <c r="E236" i="1" s="1"/>
  <c r="D99" i="1"/>
  <c r="E99" i="1" s="1"/>
  <c r="D250" i="1"/>
  <c r="E250" i="1" s="1"/>
  <c r="D6" i="1"/>
  <c r="E6" i="1" s="1"/>
  <c r="J9" i="1" l="1"/>
  <c r="J11" i="1" l="1"/>
  <c r="J12" i="1" s="1"/>
  <c r="J13" i="1" s="1"/>
</calcChain>
</file>

<file path=xl/sharedStrings.xml><?xml version="1.0" encoding="utf-8"?>
<sst xmlns="http://schemas.openxmlformats.org/spreadsheetml/2006/main" count="14" uniqueCount="14">
  <si>
    <t>Date</t>
  </si>
  <si>
    <t>Price</t>
  </si>
  <si>
    <t>Mean:</t>
  </si>
  <si>
    <t>Returns %</t>
  </si>
  <si>
    <t>(R-mean)</t>
  </si>
  <si>
    <t>(R-mean)^2</t>
  </si>
  <si>
    <t>∑(R-mean)^2</t>
  </si>
  <si>
    <t>Variance</t>
  </si>
  <si>
    <t>Standard deviation</t>
  </si>
  <si>
    <t>Volatility of returns of Microsoft stock</t>
  </si>
  <si>
    <t>Count</t>
  </si>
  <si>
    <t>Annualize volatility</t>
  </si>
  <si>
    <t>The annualized volatility for Microsoft stock is approximately 24%, which shows that its return fluctuates around 24% a year. This number is not too high, but still has moderate risk as stock prices can go up and down</t>
  </si>
  <si>
    <t>Volatility helps measures how unpredictable a stock’s returns are, helping investors assess risk. Investors use this measure to balance risk and return when building and managing their portfolios.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</si>
</sst>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00"/>
    <numFmt numFmtId="166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Arial Black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/>
    <xf numFmtId="2" fontId="0" fillId="36" borderId="12" xfId="0" applyNumberFormat="1" applyFill="1" applyBorder="1"/>
    <xf numFmtId="0" fontId="0" fillId="35" borderId="11" xfId="0" applyFill="1" applyBorder="1"/>
    <xf numFmtId="0" fontId="18" fillId="35" borderId="11" xfId="0" applyFont="1" applyFill="1" applyBorder="1"/>
    <xf numFmtId="164" fontId="0" fillId="36" borderId="12" xfId="0" applyNumberFormat="1" applyFill="1" applyBorder="1"/>
    <xf numFmtId="0" fontId="0" fillId="0" borderId="13" xfId="0" applyBorder="1"/>
    <xf numFmtId="0" fontId="0" fillId="33" borderId="15" xfId="0" applyFill="1" applyBorder="1"/>
    <xf numFmtId="0" fontId="0" fillId="33" borderId="16" xfId="0" applyFill="1" applyBorder="1"/>
    <xf numFmtId="0" fontId="0" fillId="33" borderId="17" xfId="0" applyFill="1" applyBorder="1"/>
    <xf numFmtId="14" fontId="0" fillId="0" borderId="18" xfId="0" applyNumberFormat="1" applyBorder="1"/>
    <xf numFmtId="0" fontId="0" fillId="0" borderId="0" xfId="0" applyBorder="1"/>
    <xf numFmtId="2" fontId="0" fillId="0" borderId="0" xfId="0" applyNumberFormat="1" applyBorder="1"/>
    <xf numFmtId="166" fontId="0" fillId="0" borderId="0" xfId="0" applyNumberFormat="1" applyBorder="1"/>
    <xf numFmtId="165" fontId="0" fillId="0" borderId="13" xfId="0" applyNumberFormat="1" applyBorder="1"/>
    <xf numFmtId="14" fontId="0" fillId="0" borderId="14" xfId="0" applyNumberFormat="1" applyBorder="1"/>
    <xf numFmtId="2" fontId="0" fillId="0" borderId="19" xfId="0" applyNumberFormat="1" applyBorder="1"/>
    <xf numFmtId="166" fontId="0" fillId="0" borderId="19" xfId="0" applyNumberFormat="1" applyBorder="1"/>
    <xf numFmtId="165" fontId="0" fillId="0" borderId="20" xfId="0" applyNumberFormat="1" applyBorder="1"/>
    <xf numFmtId="0" fontId="0" fillId="33" borderId="21" xfId="0" applyFill="1" applyBorder="1"/>
    <xf numFmtId="0" fontId="0" fillId="0" borderId="22" xfId="0" applyBorder="1"/>
    <xf numFmtId="0" fontId="0" fillId="0" borderId="23" xfId="0" applyBorder="1"/>
    <xf numFmtId="1" fontId="0" fillId="36" borderId="12" xfId="0" applyNumberFormat="1" applyFill="1" applyBorder="1"/>
    <xf numFmtId="0" fontId="0" fillId="0" borderId="0" xfId="0" applyAlignment="1">
      <alignment wrapText="1"/>
    </xf>
    <xf numFmtId="0" fontId="19" fillId="34" borderId="24" xfId="0" applyFont="1" applyFill="1" applyBorder="1" applyAlignment="1">
      <alignment horizontal="center" vertical="center"/>
    </xf>
    <xf numFmtId="0" fontId="19" fillId="34" borderId="25" xfId="0" applyFont="1" applyFill="1" applyBorder="1" applyAlignment="1">
      <alignment horizontal="center" vertical="center"/>
    </xf>
    <xf numFmtId="0" fontId="19" fillId="34" borderId="26" xfId="0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center" vertical="center"/>
    </xf>
    <xf numFmtId="0" fontId="19" fillId="34" borderId="28" xfId="0" applyFont="1" applyFill="1" applyBorder="1" applyAlignment="1">
      <alignment horizontal="center" vertical="center"/>
    </xf>
    <xf numFmtId="0" fontId="19" fillId="34" borderId="29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left" wrapText="1"/>
    </xf>
    <xf numFmtId="0" fontId="0" fillId="36" borderId="10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4"/>
  <sheetViews>
    <sheetView tabSelected="1" workbookViewId="0">
      <selection activeCell="J13" sqref="J13"/>
    </sheetView>
  </sheetViews>
  <sheetFormatPr defaultRowHeight="15" x14ac:dyDescent="0.25"/>
  <cols>
    <col min="1" max="1" width="13.5703125" customWidth="1"/>
    <col min="2" max="2" width="10.140625" customWidth="1"/>
    <col min="3" max="3" width="10.28515625" customWidth="1"/>
    <col min="4" max="4" width="14.85546875" customWidth="1"/>
    <col min="5" max="5" width="14.28515625" customWidth="1"/>
    <col min="8" max="8" width="5.7109375" customWidth="1"/>
    <col min="9" max="9" width="17.5703125" customWidth="1"/>
    <col min="10" max="10" width="16.7109375" bestFit="1" customWidth="1"/>
  </cols>
  <sheetData>
    <row r="1" spans="1:13" x14ac:dyDescent="0.25">
      <c r="A1" s="24" t="s">
        <v>9</v>
      </c>
      <c r="B1" s="25"/>
      <c r="C1" s="25"/>
      <c r="D1" s="25"/>
      <c r="E1" s="26"/>
    </row>
    <row r="2" spans="1:13" ht="15.75" thickBot="1" x14ac:dyDescent="0.3">
      <c r="A2" s="27"/>
      <c r="B2" s="28"/>
      <c r="C2" s="28"/>
      <c r="D2" s="28"/>
      <c r="E2" s="29"/>
    </row>
    <row r="4" spans="1:13" x14ac:dyDescent="0.25">
      <c r="A4" s="7" t="s">
        <v>0</v>
      </c>
      <c r="B4" s="19" t="s">
        <v>1</v>
      </c>
      <c r="C4" s="8" t="s">
        <v>3</v>
      </c>
      <c r="D4" s="8" t="s">
        <v>4</v>
      </c>
      <c r="E4" s="9" t="s">
        <v>5</v>
      </c>
    </row>
    <row r="5" spans="1:13" x14ac:dyDescent="0.25">
      <c r="A5" s="10">
        <v>45659</v>
      </c>
      <c r="B5" s="20">
        <v>418.58</v>
      </c>
      <c r="C5" s="11"/>
      <c r="D5" s="11"/>
      <c r="E5" s="6"/>
    </row>
    <row r="6" spans="1:13" x14ac:dyDescent="0.25">
      <c r="A6" s="10">
        <v>45660</v>
      </c>
      <c r="B6" s="20">
        <v>423.35</v>
      </c>
      <c r="C6" s="12">
        <f>((B6-B5)/B5)*100</f>
        <v>1.1395671078408043</v>
      </c>
      <c r="D6" s="13">
        <f>C6-$J$8</f>
        <v>1.0700129107023479</v>
      </c>
      <c r="E6" s="14">
        <f>D6^2</f>
        <v>1.1449276290697108</v>
      </c>
    </row>
    <row r="7" spans="1:13" x14ac:dyDescent="0.25">
      <c r="A7" s="10">
        <v>45663</v>
      </c>
      <c r="B7" s="20">
        <v>427.85</v>
      </c>
      <c r="C7" s="12">
        <f t="shared" ref="C7:C70" si="0">((B7-B6)/B6)*100</f>
        <v>1.0629502775481279</v>
      </c>
      <c r="D7" s="13">
        <f t="shared" ref="D7:D70" si="1">C7-$J$8</f>
        <v>0.99339608040967142</v>
      </c>
      <c r="E7" s="14">
        <f t="shared" ref="E7:E70" si="2">D7^2</f>
        <v>0.98683577257329835</v>
      </c>
    </row>
    <row r="8" spans="1:13" x14ac:dyDescent="0.25">
      <c r="A8" s="10">
        <v>45664</v>
      </c>
      <c r="B8" s="20">
        <v>422.37</v>
      </c>
      <c r="C8" s="12">
        <f t="shared" si="0"/>
        <v>-1.2808227182423788</v>
      </c>
      <c r="D8" s="13">
        <f t="shared" si="1"/>
        <v>-1.3503769153808352</v>
      </c>
      <c r="E8" s="14">
        <f t="shared" si="2"/>
        <v>1.8235178135934593</v>
      </c>
      <c r="I8" s="3" t="s">
        <v>2</v>
      </c>
      <c r="J8" s="2">
        <f>AVERAGE(C6:C254)</f>
        <v>6.9554197138456425E-2</v>
      </c>
    </row>
    <row r="9" spans="1:13" x14ac:dyDescent="0.25">
      <c r="A9" s="10">
        <v>45665</v>
      </c>
      <c r="B9" s="20">
        <v>424.56</v>
      </c>
      <c r="C9" s="12">
        <f t="shared" si="0"/>
        <v>0.51850273456921603</v>
      </c>
      <c r="D9" s="13">
        <f t="shared" si="1"/>
        <v>0.44894853743075958</v>
      </c>
      <c r="E9" s="14">
        <f t="shared" si="2"/>
        <v>0.20155478926121814</v>
      </c>
      <c r="I9" s="4" t="s">
        <v>6</v>
      </c>
      <c r="J9" s="2">
        <f>SUM(E6:E254)</f>
        <v>581.63105377180204</v>
      </c>
    </row>
    <row r="10" spans="1:13" x14ac:dyDescent="0.25">
      <c r="A10" s="10">
        <v>45667</v>
      </c>
      <c r="B10" s="20">
        <v>418.95</v>
      </c>
      <c r="C10" s="12">
        <f t="shared" si="0"/>
        <v>-1.3213680045223322</v>
      </c>
      <c r="D10" s="13">
        <f t="shared" si="1"/>
        <v>-1.3909222016607885</v>
      </c>
      <c r="E10" s="14">
        <f t="shared" si="2"/>
        <v>1.9346645710728951</v>
      </c>
      <c r="I10" s="4" t="s">
        <v>10</v>
      </c>
      <c r="J10" s="22">
        <f>COUNT(C6:C254)</f>
        <v>249</v>
      </c>
    </row>
    <row r="11" spans="1:13" x14ac:dyDescent="0.25">
      <c r="A11" s="10">
        <v>45670</v>
      </c>
      <c r="B11" s="20">
        <v>417.19</v>
      </c>
      <c r="C11" s="12">
        <f t="shared" si="0"/>
        <v>-0.42009786370688412</v>
      </c>
      <c r="D11" s="13">
        <f t="shared" si="1"/>
        <v>-0.48965206084534052</v>
      </c>
      <c r="E11" s="14">
        <f t="shared" si="2"/>
        <v>0.23975914069008905</v>
      </c>
      <c r="I11" s="3" t="s">
        <v>7</v>
      </c>
      <c r="J11" s="2">
        <f>J9/J10</f>
        <v>2.3358676858305305</v>
      </c>
    </row>
    <row r="12" spans="1:13" x14ac:dyDescent="0.25">
      <c r="A12" s="10">
        <v>45671</v>
      </c>
      <c r="B12" s="20">
        <v>415.67</v>
      </c>
      <c r="C12" s="12">
        <f t="shared" si="0"/>
        <v>-0.36434238596322582</v>
      </c>
      <c r="D12" s="13">
        <f t="shared" si="1"/>
        <v>-0.43389658310168222</v>
      </c>
      <c r="E12" s="14">
        <f t="shared" si="2"/>
        <v>0.18826624482731502</v>
      </c>
      <c r="I12" s="3" t="s">
        <v>8</v>
      </c>
      <c r="J12" s="5">
        <f>J11^0.5</f>
        <v>1.5283545680994743</v>
      </c>
      <c r="K12" s="1"/>
    </row>
    <row r="13" spans="1:13" x14ac:dyDescent="0.25">
      <c r="A13" s="10">
        <v>45672</v>
      </c>
      <c r="B13" s="20">
        <v>426.31</v>
      </c>
      <c r="C13" s="12">
        <f t="shared" si="0"/>
        <v>2.5597228570741182</v>
      </c>
      <c r="D13" s="13">
        <f t="shared" si="1"/>
        <v>2.4901686599356618</v>
      </c>
      <c r="E13" s="14">
        <f t="shared" si="2"/>
        <v>6.2009399549257695</v>
      </c>
      <c r="I13" s="3" t="s">
        <v>11</v>
      </c>
      <c r="J13" s="2">
        <f>J12*SQRT(J10)</f>
        <v>24.117028294792085</v>
      </c>
    </row>
    <row r="14" spans="1:13" x14ac:dyDescent="0.25">
      <c r="A14" s="10">
        <v>45673</v>
      </c>
      <c r="B14" s="20">
        <v>424.58</v>
      </c>
      <c r="C14" s="12">
        <f t="shared" si="0"/>
        <v>-0.4058079801083761</v>
      </c>
      <c r="D14" s="13">
        <f t="shared" si="1"/>
        <v>-0.4753621772468325</v>
      </c>
      <c r="E14" s="14">
        <f t="shared" si="2"/>
        <v>0.22596919955684899</v>
      </c>
    </row>
    <row r="15" spans="1:13" ht="15" customHeight="1" x14ac:dyDescent="0.25">
      <c r="A15" s="10">
        <v>45674</v>
      </c>
      <c r="B15" s="20">
        <v>429.03</v>
      </c>
      <c r="C15" s="12">
        <f t="shared" si="0"/>
        <v>1.0480945875924417</v>
      </c>
      <c r="D15" s="13">
        <f t="shared" si="1"/>
        <v>0.97854039045398522</v>
      </c>
      <c r="E15" s="14">
        <f t="shared" si="2"/>
        <v>0.95754129574983782</v>
      </c>
      <c r="I15" s="30" t="s">
        <v>12</v>
      </c>
      <c r="J15" s="30"/>
      <c r="K15" s="30"/>
      <c r="L15" s="30"/>
      <c r="M15" s="30"/>
    </row>
    <row r="16" spans="1:13" x14ac:dyDescent="0.25">
      <c r="A16" s="10">
        <v>45678</v>
      </c>
      <c r="B16" s="20">
        <v>428.5</v>
      </c>
      <c r="C16" s="12">
        <f t="shared" si="0"/>
        <v>-0.1235344847679586</v>
      </c>
      <c r="D16" s="13">
        <f t="shared" si="1"/>
        <v>-0.19308868190641504</v>
      </c>
      <c r="E16" s="14">
        <f t="shared" si="2"/>
        <v>3.7283239080356731E-2</v>
      </c>
      <c r="I16" s="30"/>
      <c r="J16" s="30"/>
      <c r="K16" s="30"/>
      <c r="L16" s="30"/>
      <c r="M16" s="30"/>
    </row>
    <row r="17" spans="1:13" x14ac:dyDescent="0.25">
      <c r="A17" s="10">
        <v>45679</v>
      </c>
      <c r="B17" s="20">
        <v>446.2</v>
      </c>
      <c r="C17" s="12">
        <f t="shared" si="0"/>
        <v>4.1306884480746762</v>
      </c>
      <c r="D17" s="13">
        <f t="shared" si="1"/>
        <v>4.0611342509362194</v>
      </c>
      <c r="E17" s="14">
        <f t="shared" si="2"/>
        <v>16.492811404127288</v>
      </c>
      <c r="I17" s="30"/>
      <c r="J17" s="30"/>
      <c r="K17" s="30"/>
      <c r="L17" s="30"/>
      <c r="M17" s="30"/>
    </row>
    <row r="18" spans="1:13" x14ac:dyDescent="0.25">
      <c r="A18" s="10">
        <v>45680</v>
      </c>
      <c r="B18" s="20">
        <v>446.71</v>
      </c>
      <c r="C18" s="12">
        <f t="shared" si="0"/>
        <v>0.11429852084266941</v>
      </c>
      <c r="D18" s="13">
        <f t="shared" si="1"/>
        <v>4.4744323704212982E-2</v>
      </c>
      <c r="E18" s="14">
        <f t="shared" si="2"/>
        <v>2.0020545037473959E-3</v>
      </c>
      <c r="I18" s="30"/>
      <c r="J18" s="30"/>
      <c r="K18" s="30"/>
      <c r="L18" s="30"/>
      <c r="M18" s="30"/>
    </row>
    <row r="19" spans="1:13" x14ac:dyDescent="0.25">
      <c r="A19" s="10">
        <v>45681</v>
      </c>
      <c r="B19" s="20">
        <v>444.06</v>
      </c>
      <c r="C19" s="12">
        <f t="shared" si="0"/>
        <v>-0.59322603031048715</v>
      </c>
      <c r="D19" s="13">
        <f t="shared" si="1"/>
        <v>-0.6627802274489436</v>
      </c>
      <c r="E19" s="14">
        <f t="shared" si="2"/>
        <v>0.43927762989727343</v>
      </c>
    </row>
    <row r="20" spans="1:13" ht="15" customHeight="1" x14ac:dyDescent="0.25">
      <c r="A20" s="10">
        <v>45684</v>
      </c>
      <c r="B20" s="20">
        <v>434.56</v>
      </c>
      <c r="C20" s="12">
        <f t="shared" si="0"/>
        <v>-2.1393505382155564</v>
      </c>
      <c r="D20" s="13">
        <f t="shared" si="1"/>
        <v>-2.2089047353540128</v>
      </c>
      <c r="E20" s="14">
        <f t="shared" si="2"/>
        <v>4.8792601298693814</v>
      </c>
      <c r="I20" s="31" t="s">
        <v>13</v>
      </c>
      <c r="J20" s="31"/>
      <c r="K20" s="31"/>
      <c r="L20" s="31"/>
      <c r="M20" s="31"/>
    </row>
    <row r="21" spans="1:13" x14ac:dyDescent="0.25">
      <c r="A21" s="10">
        <v>45685</v>
      </c>
      <c r="B21" s="20">
        <v>447.2</v>
      </c>
      <c r="C21" s="12">
        <f t="shared" si="0"/>
        <v>2.9086892488954312</v>
      </c>
      <c r="D21" s="13">
        <f t="shared" si="1"/>
        <v>2.8391350517569749</v>
      </c>
      <c r="E21" s="14">
        <f t="shared" si="2"/>
        <v>8.0606878421150814</v>
      </c>
      <c r="I21" s="31"/>
      <c r="J21" s="31"/>
      <c r="K21" s="31"/>
      <c r="L21" s="31"/>
      <c r="M21" s="31"/>
    </row>
    <row r="22" spans="1:13" x14ac:dyDescent="0.25">
      <c r="A22" s="10">
        <v>45686</v>
      </c>
      <c r="B22" s="20">
        <v>442.33</v>
      </c>
      <c r="C22" s="12">
        <f t="shared" si="0"/>
        <v>-1.0889982110912353</v>
      </c>
      <c r="D22" s="13">
        <f t="shared" si="1"/>
        <v>-1.1585524082296916</v>
      </c>
      <c r="E22" s="14">
        <f t="shared" si="2"/>
        <v>1.3422436826148181</v>
      </c>
      <c r="I22" s="31"/>
      <c r="J22" s="31"/>
      <c r="K22" s="31"/>
      <c r="L22" s="31"/>
      <c r="M22" s="31"/>
    </row>
    <row r="23" spans="1:13" x14ac:dyDescent="0.25">
      <c r="A23" s="10">
        <v>45687</v>
      </c>
      <c r="B23" s="20">
        <v>414.99</v>
      </c>
      <c r="C23" s="12">
        <f t="shared" si="0"/>
        <v>-6.1809056586711222</v>
      </c>
      <c r="D23" s="13">
        <f t="shared" si="1"/>
        <v>-6.250459855809579</v>
      </c>
      <c r="E23" s="14">
        <f t="shared" si="2"/>
        <v>39.068248409087104</v>
      </c>
      <c r="I23" s="23"/>
      <c r="J23" s="23"/>
      <c r="K23" s="23"/>
      <c r="L23" s="23"/>
      <c r="M23" s="23"/>
    </row>
    <row r="24" spans="1:13" x14ac:dyDescent="0.25">
      <c r="A24" s="10">
        <v>45688</v>
      </c>
      <c r="B24" s="20">
        <v>415.06</v>
      </c>
      <c r="C24" s="12">
        <f t="shared" si="0"/>
        <v>1.686787633436786E-2</v>
      </c>
      <c r="D24" s="13">
        <f t="shared" si="1"/>
        <v>-5.2686320804088568E-2</v>
      </c>
      <c r="E24" s="14">
        <f t="shared" si="2"/>
        <v>2.7758483998713357E-3</v>
      </c>
      <c r="I24" s="23"/>
      <c r="J24" s="23"/>
      <c r="K24" s="23"/>
      <c r="L24" s="23"/>
      <c r="M24" s="23"/>
    </row>
    <row r="25" spans="1:13" x14ac:dyDescent="0.25">
      <c r="A25" s="10">
        <v>45691</v>
      </c>
      <c r="B25" s="20">
        <v>410.92</v>
      </c>
      <c r="C25" s="12">
        <f t="shared" si="0"/>
        <v>-0.99744615236351042</v>
      </c>
      <c r="D25" s="13">
        <f t="shared" si="1"/>
        <v>-1.0670003495019669</v>
      </c>
      <c r="E25" s="14">
        <f t="shared" si="2"/>
        <v>1.1384897458373195</v>
      </c>
    </row>
    <row r="26" spans="1:13" x14ac:dyDescent="0.25">
      <c r="A26" s="10">
        <v>45692</v>
      </c>
      <c r="B26" s="20">
        <v>412.37</v>
      </c>
      <c r="C26" s="12">
        <f t="shared" si="0"/>
        <v>0.35286673805119939</v>
      </c>
      <c r="D26" s="13">
        <f t="shared" si="1"/>
        <v>0.28331254091274294</v>
      </c>
      <c r="E26" s="14">
        <f t="shared" si="2"/>
        <v>8.0265995838434648E-2</v>
      </c>
    </row>
    <row r="27" spans="1:13" x14ac:dyDescent="0.25">
      <c r="A27" s="10">
        <v>45693</v>
      </c>
      <c r="B27" s="20">
        <v>413.29</v>
      </c>
      <c r="C27" s="12">
        <f t="shared" si="0"/>
        <v>0.22310061352669108</v>
      </c>
      <c r="D27" s="13">
        <f t="shared" si="1"/>
        <v>0.15354641638823466</v>
      </c>
      <c r="E27" s="14">
        <f t="shared" si="2"/>
        <v>2.3576501985669136E-2</v>
      </c>
    </row>
    <row r="28" spans="1:13" x14ac:dyDescent="0.25">
      <c r="A28" s="10">
        <v>45694</v>
      </c>
      <c r="B28" s="20">
        <v>415.82</v>
      </c>
      <c r="C28" s="12">
        <f t="shared" si="0"/>
        <v>0.61216095235790191</v>
      </c>
      <c r="D28" s="13">
        <f t="shared" si="1"/>
        <v>0.54260675521944546</v>
      </c>
      <c r="E28" s="14">
        <f t="shared" si="2"/>
        <v>0.29442209080977522</v>
      </c>
    </row>
    <row r="29" spans="1:13" x14ac:dyDescent="0.25">
      <c r="A29" s="10">
        <v>45695</v>
      </c>
      <c r="B29" s="20">
        <v>409.75</v>
      </c>
      <c r="C29" s="12">
        <f t="shared" si="0"/>
        <v>-1.4597662450098585</v>
      </c>
      <c r="D29" s="13">
        <f t="shared" si="1"/>
        <v>-1.5293204421483149</v>
      </c>
      <c r="E29" s="14">
        <f t="shared" si="2"/>
        <v>2.3388210147727171</v>
      </c>
    </row>
    <row r="30" spans="1:13" x14ac:dyDescent="0.25">
      <c r="A30" s="10">
        <v>45698</v>
      </c>
      <c r="B30" s="20">
        <v>412.22</v>
      </c>
      <c r="C30" s="12">
        <f t="shared" si="0"/>
        <v>0.60280658938377729</v>
      </c>
      <c r="D30" s="13">
        <f t="shared" si="1"/>
        <v>0.53325239224532084</v>
      </c>
      <c r="E30" s="14">
        <f t="shared" si="2"/>
        <v>0.28435811383535753</v>
      </c>
    </row>
    <row r="31" spans="1:13" x14ac:dyDescent="0.25">
      <c r="A31" s="10">
        <v>45699</v>
      </c>
      <c r="B31" s="20">
        <v>411.44</v>
      </c>
      <c r="C31" s="12">
        <f t="shared" si="0"/>
        <v>-0.18921934889137584</v>
      </c>
      <c r="D31" s="13">
        <f t="shared" si="1"/>
        <v>-0.25877354602983227</v>
      </c>
      <c r="E31" s="14">
        <f t="shared" si="2"/>
        <v>6.6963748124853714E-2</v>
      </c>
    </row>
    <row r="32" spans="1:13" x14ac:dyDescent="0.25">
      <c r="A32" s="10">
        <v>45700</v>
      </c>
      <c r="B32" s="20">
        <v>409.04</v>
      </c>
      <c r="C32" s="12">
        <f t="shared" si="0"/>
        <v>-0.58331713007971453</v>
      </c>
      <c r="D32" s="13">
        <f t="shared" si="1"/>
        <v>-0.65287132721817098</v>
      </c>
      <c r="E32" s="14">
        <f t="shared" si="2"/>
        <v>0.4262409699036161</v>
      </c>
    </row>
    <row r="33" spans="1:5" x14ac:dyDescent="0.25">
      <c r="A33" s="10">
        <v>45701</v>
      </c>
      <c r="B33" s="20">
        <v>410.54</v>
      </c>
      <c r="C33" s="12">
        <f t="shared" si="0"/>
        <v>0.36671230197535692</v>
      </c>
      <c r="D33" s="13">
        <f t="shared" si="1"/>
        <v>0.29715810483690053</v>
      </c>
      <c r="E33" s="14">
        <f t="shared" si="2"/>
        <v>8.8302939270258368E-2</v>
      </c>
    </row>
    <row r="34" spans="1:5" x14ac:dyDescent="0.25">
      <c r="A34" s="10">
        <v>45702</v>
      </c>
      <c r="B34" s="20">
        <v>408.43</v>
      </c>
      <c r="C34" s="12">
        <f t="shared" si="0"/>
        <v>-0.51395722706679337</v>
      </c>
      <c r="D34" s="13">
        <f t="shared" si="1"/>
        <v>-0.58351142420524982</v>
      </c>
      <c r="E34" s="14">
        <f t="shared" si="2"/>
        <v>0.34048558217803898</v>
      </c>
    </row>
    <row r="35" spans="1:5" x14ac:dyDescent="0.25">
      <c r="A35" s="10">
        <v>45706</v>
      </c>
      <c r="B35" s="20">
        <v>409.64</v>
      </c>
      <c r="C35" s="12">
        <f t="shared" si="0"/>
        <v>0.29625639644491819</v>
      </c>
      <c r="D35" s="13">
        <f t="shared" si="1"/>
        <v>0.22670219930646177</v>
      </c>
      <c r="E35" s="14">
        <f t="shared" si="2"/>
        <v>5.1393887170386711E-2</v>
      </c>
    </row>
    <row r="36" spans="1:5" x14ac:dyDescent="0.25">
      <c r="A36" s="10">
        <v>45707</v>
      </c>
      <c r="B36" s="20">
        <v>414.77</v>
      </c>
      <c r="C36" s="12">
        <f t="shared" si="0"/>
        <v>1.2523191094619655</v>
      </c>
      <c r="D36" s="13">
        <f t="shared" si="1"/>
        <v>1.1827649123235091</v>
      </c>
      <c r="E36" s="14">
        <f t="shared" si="2"/>
        <v>1.3989328378236381</v>
      </c>
    </row>
    <row r="37" spans="1:5" x14ac:dyDescent="0.25">
      <c r="A37" s="10">
        <v>45708</v>
      </c>
      <c r="B37" s="20">
        <v>416.13</v>
      </c>
      <c r="C37" s="12">
        <f t="shared" si="0"/>
        <v>0.32789256696482721</v>
      </c>
      <c r="D37" s="13">
        <f t="shared" si="1"/>
        <v>0.25833836982637082</v>
      </c>
      <c r="E37" s="14">
        <f t="shared" si="2"/>
        <v>6.6738713324546742E-2</v>
      </c>
    </row>
    <row r="38" spans="1:5" x14ac:dyDescent="0.25">
      <c r="A38" s="10">
        <v>45709</v>
      </c>
      <c r="B38" s="20">
        <v>408.21</v>
      </c>
      <c r="C38" s="12">
        <f t="shared" si="0"/>
        <v>-1.9032513877874742</v>
      </c>
      <c r="D38" s="13">
        <f t="shared" si="1"/>
        <v>-1.9728055849259305</v>
      </c>
      <c r="E38" s="14">
        <f t="shared" si="2"/>
        <v>3.8919618759149426</v>
      </c>
    </row>
    <row r="39" spans="1:5" x14ac:dyDescent="0.25">
      <c r="A39" s="10">
        <v>45712</v>
      </c>
      <c r="B39" s="20">
        <v>404</v>
      </c>
      <c r="C39" s="12">
        <f t="shared" si="0"/>
        <v>-1.0313319124960143</v>
      </c>
      <c r="D39" s="13">
        <f t="shared" si="1"/>
        <v>-1.1008861096344706</v>
      </c>
      <c r="E39" s="14">
        <f t="shared" si="2"/>
        <v>1.2119502263861197</v>
      </c>
    </row>
    <row r="40" spans="1:5" x14ac:dyDescent="0.25">
      <c r="A40" s="10">
        <v>45713</v>
      </c>
      <c r="B40" s="20">
        <v>397.9</v>
      </c>
      <c r="C40" s="12">
        <f t="shared" si="0"/>
        <v>-1.5099009900990157</v>
      </c>
      <c r="D40" s="13">
        <f t="shared" si="1"/>
        <v>-1.579455187237472</v>
      </c>
      <c r="E40" s="14">
        <f t="shared" si="2"/>
        <v>2.4946786884913577</v>
      </c>
    </row>
    <row r="41" spans="1:5" x14ac:dyDescent="0.25">
      <c r="A41" s="10">
        <v>45714</v>
      </c>
      <c r="B41" s="20">
        <v>399.73</v>
      </c>
      <c r="C41" s="12">
        <f t="shared" si="0"/>
        <v>0.45991455139483317</v>
      </c>
      <c r="D41" s="13">
        <f t="shared" si="1"/>
        <v>0.39036035425637672</v>
      </c>
      <c r="E41" s="14">
        <f t="shared" si="2"/>
        <v>0.15238120617516393</v>
      </c>
    </row>
    <row r="42" spans="1:5" x14ac:dyDescent="0.25">
      <c r="A42" s="10">
        <v>45715</v>
      </c>
      <c r="B42" s="20">
        <v>392.53</v>
      </c>
      <c r="C42" s="12">
        <f t="shared" si="0"/>
        <v>-1.8012158206789697</v>
      </c>
      <c r="D42" s="13">
        <f t="shared" si="1"/>
        <v>-1.870770017817426</v>
      </c>
      <c r="E42" s="14">
        <f t="shared" si="2"/>
        <v>3.4997804595646125</v>
      </c>
    </row>
    <row r="43" spans="1:5" x14ac:dyDescent="0.25">
      <c r="A43" s="10">
        <v>45716</v>
      </c>
      <c r="B43" s="20">
        <v>396.99</v>
      </c>
      <c r="C43" s="12">
        <f t="shared" si="0"/>
        <v>1.1362188877283359</v>
      </c>
      <c r="D43" s="13">
        <f t="shared" si="1"/>
        <v>1.0666646905898796</v>
      </c>
      <c r="E43" s="14">
        <f t="shared" si="2"/>
        <v>1.1377735621512035</v>
      </c>
    </row>
    <row r="44" spans="1:5" x14ac:dyDescent="0.25">
      <c r="A44" s="10">
        <v>45719</v>
      </c>
      <c r="B44" s="20">
        <v>388.49</v>
      </c>
      <c r="C44" s="12">
        <f t="shared" si="0"/>
        <v>-2.1411118667976523</v>
      </c>
      <c r="D44" s="13">
        <f t="shared" si="1"/>
        <v>-2.2106660639361086</v>
      </c>
      <c r="E44" s="14">
        <f t="shared" si="2"/>
        <v>4.8870444462387672</v>
      </c>
    </row>
    <row r="45" spans="1:5" x14ac:dyDescent="0.25">
      <c r="A45" s="10">
        <v>45720</v>
      </c>
      <c r="B45" s="20">
        <v>388.61</v>
      </c>
      <c r="C45" s="12">
        <f t="shared" si="0"/>
        <v>3.0888825967207535E-2</v>
      </c>
      <c r="D45" s="13">
        <f t="shared" si="1"/>
        <v>-3.8665371171248894E-2</v>
      </c>
      <c r="E45" s="14">
        <f t="shared" si="2"/>
        <v>1.495010927810445E-3</v>
      </c>
    </row>
    <row r="46" spans="1:5" x14ac:dyDescent="0.25">
      <c r="A46" s="10">
        <v>45721</v>
      </c>
      <c r="B46" s="20">
        <v>401.02</v>
      </c>
      <c r="C46" s="12">
        <f t="shared" si="0"/>
        <v>3.1934330048120145</v>
      </c>
      <c r="D46" s="13">
        <f t="shared" si="1"/>
        <v>3.1238788076735582</v>
      </c>
      <c r="E46" s="14">
        <f t="shared" si="2"/>
        <v>9.758618805031972</v>
      </c>
    </row>
    <row r="47" spans="1:5" x14ac:dyDescent="0.25">
      <c r="A47" s="10">
        <v>45722</v>
      </c>
      <c r="B47" s="20">
        <v>396.89</v>
      </c>
      <c r="C47" s="12">
        <f t="shared" si="0"/>
        <v>-1.0298738217545249</v>
      </c>
      <c r="D47" s="13">
        <f t="shared" si="1"/>
        <v>-1.0994280188929813</v>
      </c>
      <c r="E47" s="14">
        <f t="shared" si="2"/>
        <v>1.2087419687269456</v>
      </c>
    </row>
    <row r="48" spans="1:5" x14ac:dyDescent="0.25">
      <c r="A48" s="10">
        <v>45723</v>
      </c>
      <c r="B48" s="20">
        <v>393.31</v>
      </c>
      <c r="C48" s="12">
        <f t="shared" si="0"/>
        <v>-0.90201315225880829</v>
      </c>
      <c r="D48" s="13">
        <f t="shared" si="1"/>
        <v>-0.97156734939726475</v>
      </c>
      <c r="E48" s="14">
        <f t="shared" si="2"/>
        <v>0.9439431144148267</v>
      </c>
    </row>
    <row r="49" spans="1:5" x14ac:dyDescent="0.25">
      <c r="A49" s="10">
        <v>45726</v>
      </c>
      <c r="B49" s="20">
        <v>380.16</v>
      </c>
      <c r="C49" s="12">
        <f t="shared" si="0"/>
        <v>-3.3434186773791605</v>
      </c>
      <c r="D49" s="13">
        <f t="shared" si="1"/>
        <v>-3.4129728745176169</v>
      </c>
      <c r="E49" s="14">
        <f t="shared" si="2"/>
        <v>11.648383842193045</v>
      </c>
    </row>
    <row r="50" spans="1:5" x14ac:dyDescent="0.25">
      <c r="A50" s="10">
        <v>45727</v>
      </c>
      <c r="B50" s="20">
        <v>380.45</v>
      </c>
      <c r="C50" s="12">
        <f t="shared" si="0"/>
        <v>7.6283670033660461E-2</v>
      </c>
      <c r="D50" s="13">
        <f t="shared" si="1"/>
        <v>6.7294728952040361E-3</v>
      </c>
      <c r="E50" s="14">
        <f t="shared" si="2"/>
        <v>4.528580544728579E-5</v>
      </c>
    </row>
    <row r="51" spans="1:5" x14ac:dyDescent="0.25">
      <c r="A51" s="10">
        <v>45728</v>
      </c>
      <c r="B51" s="20">
        <v>383.27</v>
      </c>
      <c r="C51" s="12">
        <f t="shared" si="0"/>
        <v>0.74122749375739083</v>
      </c>
      <c r="D51" s="13">
        <f t="shared" si="1"/>
        <v>0.67167329661893438</v>
      </c>
      <c r="E51" s="14">
        <f t="shared" si="2"/>
        <v>0.45114501739094698</v>
      </c>
    </row>
    <row r="52" spans="1:5" x14ac:dyDescent="0.25">
      <c r="A52" s="10">
        <v>45729</v>
      </c>
      <c r="B52" s="20">
        <v>378.77</v>
      </c>
      <c r="C52" s="12">
        <f t="shared" si="0"/>
        <v>-1.1741070263782711</v>
      </c>
      <c r="D52" s="13">
        <f t="shared" si="1"/>
        <v>-1.2436612235167275</v>
      </c>
      <c r="E52" s="14">
        <f t="shared" si="2"/>
        <v>1.5466932388791237</v>
      </c>
    </row>
    <row r="53" spans="1:5" x14ac:dyDescent="0.25">
      <c r="A53" s="10">
        <v>45730</v>
      </c>
      <c r="B53" s="20">
        <v>388.56</v>
      </c>
      <c r="C53" s="12">
        <f t="shared" si="0"/>
        <v>2.5846819969902635</v>
      </c>
      <c r="D53" s="13">
        <f t="shared" si="1"/>
        <v>2.5151277998518071</v>
      </c>
      <c r="E53" s="14">
        <f t="shared" si="2"/>
        <v>6.3258678495873921</v>
      </c>
    </row>
    <row r="54" spans="1:5" x14ac:dyDescent="0.25">
      <c r="A54" s="10">
        <v>45733</v>
      </c>
      <c r="B54" s="20">
        <v>388.7</v>
      </c>
      <c r="C54" s="12">
        <f t="shared" si="0"/>
        <v>3.6030471484451911E-2</v>
      </c>
      <c r="D54" s="13">
        <f t="shared" si="1"/>
        <v>-3.3523725654004514E-2</v>
      </c>
      <c r="E54" s="14">
        <f t="shared" si="2"/>
        <v>1.1238401817249605E-3</v>
      </c>
    </row>
    <row r="55" spans="1:5" x14ac:dyDescent="0.25">
      <c r="A55" s="10">
        <v>45734</v>
      </c>
      <c r="B55" s="20">
        <v>383.52</v>
      </c>
      <c r="C55" s="12">
        <f t="shared" si="0"/>
        <v>-1.3326472858245451</v>
      </c>
      <c r="D55" s="13">
        <f t="shared" si="1"/>
        <v>-1.4022014829630014</v>
      </c>
      <c r="E55" s="14">
        <f t="shared" si="2"/>
        <v>1.9661689988236404</v>
      </c>
    </row>
    <row r="56" spans="1:5" x14ac:dyDescent="0.25">
      <c r="A56" s="10">
        <v>45735</v>
      </c>
      <c r="B56" s="20">
        <v>387.82</v>
      </c>
      <c r="C56" s="12">
        <f t="shared" si="0"/>
        <v>1.1211931581143126</v>
      </c>
      <c r="D56" s="13">
        <f t="shared" si="1"/>
        <v>1.0516389609758563</v>
      </c>
      <c r="E56" s="14">
        <f t="shared" si="2"/>
        <v>1.1059445042423786</v>
      </c>
    </row>
    <row r="57" spans="1:5" x14ac:dyDescent="0.25">
      <c r="A57" s="10">
        <v>45736</v>
      </c>
      <c r="B57" s="20">
        <v>386.84</v>
      </c>
      <c r="C57" s="12">
        <f t="shared" si="0"/>
        <v>-0.25269454901759014</v>
      </c>
      <c r="D57" s="13">
        <f t="shared" si="1"/>
        <v>-0.32224874615604659</v>
      </c>
      <c r="E57" s="14">
        <f t="shared" si="2"/>
        <v>0.10384425439914416</v>
      </c>
    </row>
    <row r="58" spans="1:5" x14ac:dyDescent="0.25">
      <c r="A58" s="10">
        <v>45737</v>
      </c>
      <c r="B58" s="20">
        <v>391.26</v>
      </c>
      <c r="C58" s="12">
        <f t="shared" si="0"/>
        <v>1.1425912521972952</v>
      </c>
      <c r="D58" s="13">
        <f t="shared" si="1"/>
        <v>1.0730370550588388</v>
      </c>
      <c r="E58" s="14">
        <f t="shared" si="2"/>
        <v>1.1514085215293455</v>
      </c>
    </row>
    <row r="59" spans="1:5" x14ac:dyDescent="0.25">
      <c r="A59" s="10">
        <v>45740</v>
      </c>
      <c r="B59" s="20">
        <v>393.08</v>
      </c>
      <c r="C59" s="12">
        <f t="shared" si="0"/>
        <v>0.46516382967847292</v>
      </c>
      <c r="D59" s="13">
        <f t="shared" si="1"/>
        <v>0.39560963254001646</v>
      </c>
      <c r="E59" s="14">
        <f t="shared" si="2"/>
        <v>0.15650698135844684</v>
      </c>
    </row>
    <row r="60" spans="1:5" x14ac:dyDescent="0.25">
      <c r="A60" s="10">
        <v>45741</v>
      </c>
      <c r="B60" s="20">
        <v>395.16</v>
      </c>
      <c r="C60" s="12">
        <f t="shared" si="0"/>
        <v>0.52915437061159076</v>
      </c>
      <c r="D60" s="13">
        <f t="shared" si="1"/>
        <v>0.45960017347313431</v>
      </c>
      <c r="E60" s="14">
        <f t="shared" si="2"/>
        <v>0.21123231945653514</v>
      </c>
    </row>
    <row r="61" spans="1:5" x14ac:dyDescent="0.25">
      <c r="A61" s="10">
        <v>45742</v>
      </c>
      <c r="B61" s="20">
        <v>389.97</v>
      </c>
      <c r="C61" s="12">
        <f t="shared" si="0"/>
        <v>-1.3133920437291218</v>
      </c>
      <c r="D61" s="13">
        <f t="shared" si="1"/>
        <v>-1.3829462408675781</v>
      </c>
      <c r="E61" s="14">
        <f t="shared" si="2"/>
        <v>1.9125403051297654</v>
      </c>
    </row>
    <row r="62" spans="1:5" x14ac:dyDescent="0.25">
      <c r="A62" s="10">
        <v>45743</v>
      </c>
      <c r="B62" s="20">
        <v>390.58</v>
      </c>
      <c r="C62" s="12">
        <f t="shared" si="0"/>
        <v>0.15642228889400639</v>
      </c>
      <c r="D62" s="13">
        <f t="shared" si="1"/>
        <v>8.6868091755549964E-2</v>
      </c>
      <c r="E62" s="14">
        <f t="shared" si="2"/>
        <v>7.5460653652506477E-3</v>
      </c>
    </row>
    <row r="63" spans="1:5" x14ac:dyDescent="0.25">
      <c r="A63" s="10">
        <v>45744</v>
      </c>
      <c r="B63" s="20">
        <v>378.8</v>
      </c>
      <c r="C63" s="12">
        <f t="shared" si="0"/>
        <v>-3.016027446361814</v>
      </c>
      <c r="D63" s="13">
        <f t="shared" si="1"/>
        <v>-3.0855816435002703</v>
      </c>
      <c r="E63" s="14">
        <f t="shared" si="2"/>
        <v>9.5208140787058291</v>
      </c>
    </row>
    <row r="64" spans="1:5" x14ac:dyDescent="0.25">
      <c r="A64" s="10">
        <v>45747</v>
      </c>
      <c r="B64" s="20">
        <v>375.39</v>
      </c>
      <c r="C64" s="12">
        <f t="shared" si="0"/>
        <v>-0.90021119324182275</v>
      </c>
      <c r="D64" s="13">
        <f t="shared" si="1"/>
        <v>-0.9697653903802792</v>
      </c>
      <c r="E64" s="14">
        <f t="shared" si="2"/>
        <v>0.9404449123794153</v>
      </c>
    </row>
    <row r="65" spans="1:5" x14ac:dyDescent="0.25">
      <c r="A65" s="10">
        <v>45748</v>
      </c>
      <c r="B65" s="20">
        <v>382.19</v>
      </c>
      <c r="C65" s="12">
        <f t="shared" si="0"/>
        <v>1.8114494259303688</v>
      </c>
      <c r="D65" s="13">
        <f t="shared" si="1"/>
        <v>1.7418952287919125</v>
      </c>
      <c r="E65" s="14">
        <f t="shared" si="2"/>
        <v>3.0341989880880291</v>
      </c>
    </row>
    <row r="66" spans="1:5" x14ac:dyDescent="0.25">
      <c r="A66" s="10">
        <v>45749</v>
      </c>
      <c r="B66" s="20">
        <v>382.14</v>
      </c>
      <c r="C66" s="12">
        <f t="shared" si="0"/>
        <v>-1.3082498233865713E-2</v>
      </c>
      <c r="D66" s="13">
        <f t="shared" si="1"/>
        <v>-8.2636695372322141E-2</v>
      </c>
      <c r="E66" s="14">
        <f t="shared" si="2"/>
        <v>6.8288234220579679E-3</v>
      </c>
    </row>
    <row r="67" spans="1:5" x14ac:dyDescent="0.25">
      <c r="A67" s="10">
        <v>45750</v>
      </c>
      <c r="B67" s="20">
        <v>373.11</v>
      </c>
      <c r="C67" s="12">
        <f t="shared" si="0"/>
        <v>-2.3630083215575373</v>
      </c>
      <c r="D67" s="13">
        <f t="shared" si="1"/>
        <v>-2.4325625186959936</v>
      </c>
      <c r="E67" s="14">
        <f t="shared" si="2"/>
        <v>5.9173604073645958</v>
      </c>
    </row>
    <row r="68" spans="1:5" x14ac:dyDescent="0.25">
      <c r="A68" s="10">
        <v>45751</v>
      </c>
      <c r="B68" s="20">
        <v>359.84</v>
      </c>
      <c r="C68" s="12">
        <f t="shared" si="0"/>
        <v>-3.5565918897912248</v>
      </c>
      <c r="D68" s="13">
        <f t="shared" si="1"/>
        <v>-3.6261460869296811</v>
      </c>
      <c r="E68" s="14">
        <f t="shared" si="2"/>
        <v>13.148935443755438</v>
      </c>
    </row>
    <row r="69" spans="1:5" x14ac:dyDescent="0.25">
      <c r="A69" s="10">
        <v>45754</v>
      </c>
      <c r="B69" s="20">
        <v>357.86</v>
      </c>
      <c r="C69" s="12">
        <f t="shared" si="0"/>
        <v>-0.55024455313471576</v>
      </c>
      <c r="D69" s="13">
        <f t="shared" si="1"/>
        <v>-0.61979875027317222</v>
      </c>
      <c r="E69" s="14">
        <f t="shared" si="2"/>
        <v>0.3841504908401861</v>
      </c>
    </row>
    <row r="70" spans="1:5" x14ac:dyDescent="0.25">
      <c r="A70" s="10">
        <v>45755</v>
      </c>
      <c r="B70" s="20">
        <v>354.56</v>
      </c>
      <c r="C70" s="12">
        <f t="shared" si="0"/>
        <v>-0.92214832616107167</v>
      </c>
      <c r="D70" s="13">
        <f t="shared" si="1"/>
        <v>-0.99170252329952813</v>
      </c>
      <c r="E70" s="14">
        <f t="shared" si="2"/>
        <v>0.9834738947186511</v>
      </c>
    </row>
    <row r="71" spans="1:5" x14ac:dyDescent="0.25">
      <c r="A71" s="10">
        <v>45756</v>
      </c>
      <c r="B71" s="20">
        <v>390.49</v>
      </c>
      <c r="C71" s="12">
        <f t="shared" ref="C71:C134" si="3">((B71-B70)/B70)*100</f>
        <v>10.133686823104696</v>
      </c>
      <c r="D71" s="13">
        <f t="shared" ref="D71:D134" si="4">C71-$J$8</f>
        <v>10.06413262596624</v>
      </c>
      <c r="E71" s="14">
        <f t="shared" ref="E71:E134" si="5">D71^2</f>
        <v>101.28676551303812</v>
      </c>
    </row>
    <row r="72" spans="1:5" x14ac:dyDescent="0.25">
      <c r="A72" s="10">
        <v>45757</v>
      </c>
      <c r="B72" s="20">
        <v>381.35</v>
      </c>
      <c r="C72" s="12">
        <f t="shared" si="3"/>
        <v>-2.3406489282696064</v>
      </c>
      <c r="D72" s="13">
        <f t="shared" si="4"/>
        <v>-2.4102031254080627</v>
      </c>
      <c r="E72" s="14">
        <f t="shared" si="5"/>
        <v>5.8090791057267932</v>
      </c>
    </row>
    <row r="73" spans="1:5" x14ac:dyDescent="0.25">
      <c r="A73" s="10">
        <v>45758</v>
      </c>
      <c r="B73" s="20">
        <v>388.45</v>
      </c>
      <c r="C73" s="12">
        <f t="shared" si="3"/>
        <v>1.8618067392159341</v>
      </c>
      <c r="D73" s="13">
        <f t="shared" si="4"/>
        <v>1.7922525420774778</v>
      </c>
      <c r="E73" s="14">
        <f t="shared" si="5"/>
        <v>3.2121691745831811</v>
      </c>
    </row>
    <row r="74" spans="1:5" x14ac:dyDescent="0.25">
      <c r="A74" s="10">
        <v>45761</v>
      </c>
      <c r="B74" s="20">
        <v>387.81</v>
      </c>
      <c r="C74" s="12">
        <f t="shared" si="3"/>
        <v>-0.16475736903075977</v>
      </c>
      <c r="D74" s="13">
        <f t="shared" si="4"/>
        <v>-0.2343115661692162</v>
      </c>
      <c r="E74" s="14">
        <f t="shared" si="5"/>
        <v>5.4901910040670979E-2</v>
      </c>
    </row>
    <row r="75" spans="1:5" x14ac:dyDescent="0.25">
      <c r="A75" s="10">
        <v>45762</v>
      </c>
      <c r="B75" s="20">
        <v>385.73</v>
      </c>
      <c r="C75" s="12">
        <f t="shared" si="3"/>
        <v>-0.53634511745441937</v>
      </c>
      <c r="D75" s="13">
        <f t="shared" si="4"/>
        <v>-0.60589931459287583</v>
      </c>
      <c r="E75" s="14">
        <f t="shared" si="5"/>
        <v>0.36711397942411672</v>
      </c>
    </row>
    <row r="76" spans="1:5" x14ac:dyDescent="0.25">
      <c r="A76" s="10">
        <v>45763</v>
      </c>
      <c r="B76" s="20">
        <v>371.61</v>
      </c>
      <c r="C76" s="12">
        <f t="shared" si="3"/>
        <v>-3.6605916055271832</v>
      </c>
      <c r="D76" s="13">
        <f t="shared" si="4"/>
        <v>-3.7301458026656396</v>
      </c>
      <c r="E76" s="14">
        <f t="shared" si="5"/>
        <v>13.913987709144088</v>
      </c>
    </row>
    <row r="77" spans="1:5" x14ac:dyDescent="0.25">
      <c r="A77" s="10">
        <v>45764</v>
      </c>
      <c r="B77" s="20">
        <v>367.78</v>
      </c>
      <c r="C77" s="12">
        <f t="shared" si="3"/>
        <v>-1.0306504130674741</v>
      </c>
      <c r="D77" s="13">
        <f t="shared" si="4"/>
        <v>-1.1002046102059304</v>
      </c>
      <c r="E77" s="14">
        <f t="shared" si="5"/>
        <v>1.2104501843183832</v>
      </c>
    </row>
    <row r="78" spans="1:5" x14ac:dyDescent="0.25">
      <c r="A78" s="10">
        <v>45768</v>
      </c>
      <c r="B78" s="20">
        <v>359.12</v>
      </c>
      <c r="C78" s="12">
        <f t="shared" si="3"/>
        <v>-2.3546685518516419</v>
      </c>
      <c r="D78" s="13">
        <f t="shared" si="4"/>
        <v>-2.4242227489900983</v>
      </c>
      <c r="E78" s="14">
        <f t="shared" si="5"/>
        <v>5.8768559367211086</v>
      </c>
    </row>
    <row r="79" spans="1:5" x14ac:dyDescent="0.25">
      <c r="A79" s="10">
        <v>45769</v>
      </c>
      <c r="B79" s="20">
        <v>366.82</v>
      </c>
      <c r="C79" s="12">
        <f t="shared" si="3"/>
        <v>2.1441300957897051</v>
      </c>
      <c r="D79" s="13">
        <f t="shared" si="4"/>
        <v>2.0745758986512488</v>
      </c>
      <c r="E79" s="14">
        <f t="shared" si="5"/>
        <v>4.3038651592646362</v>
      </c>
    </row>
    <row r="80" spans="1:5" x14ac:dyDescent="0.25">
      <c r="A80" s="10">
        <v>45770</v>
      </c>
      <c r="B80" s="20">
        <v>374.39</v>
      </c>
      <c r="C80" s="12">
        <f t="shared" si="3"/>
        <v>2.0636824600621542</v>
      </c>
      <c r="D80" s="13">
        <f t="shared" si="4"/>
        <v>1.9941282629236978</v>
      </c>
      <c r="E80" s="14">
        <f t="shared" si="5"/>
        <v>3.9765475289910843</v>
      </c>
    </row>
    <row r="81" spans="1:5" x14ac:dyDescent="0.25">
      <c r="A81" s="10">
        <v>45771</v>
      </c>
      <c r="B81" s="20">
        <v>387.3</v>
      </c>
      <c r="C81" s="12">
        <f t="shared" si="3"/>
        <v>3.4482758620689724</v>
      </c>
      <c r="D81" s="13">
        <f t="shared" si="4"/>
        <v>3.3787216649305161</v>
      </c>
      <c r="E81" s="14">
        <f t="shared" si="5"/>
        <v>11.415760089070838</v>
      </c>
    </row>
    <row r="82" spans="1:5" x14ac:dyDescent="0.25">
      <c r="A82" s="10">
        <v>45772</v>
      </c>
      <c r="B82" s="20">
        <v>391.85</v>
      </c>
      <c r="C82" s="12">
        <f t="shared" si="3"/>
        <v>1.174799896720891</v>
      </c>
      <c r="D82" s="13">
        <f t="shared" si="4"/>
        <v>1.1052456995824347</v>
      </c>
      <c r="E82" s="14">
        <f t="shared" si="5"/>
        <v>1.2215680564454654</v>
      </c>
    </row>
    <row r="83" spans="1:5" x14ac:dyDescent="0.25">
      <c r="A83" s="10">
        <v>45775</v>
      </c>
      <c r="B83" s="20">
        <v>391.16</v>
      </c>
      <c r="C83" s="12">
        <f t="shared" si="3"/>
        <v>-0.17608778869465297</v>
      </c>
      <c r="D83" s="13">
        <f t="shared" si="4"/>
        <v>-0.24564198583310939</v>
      </c>
      <c r="E83" s="14">
        <f t="shared" si="5"/>
        <v>6.0339985204033518E-2</v>
      </c>
    </row>
    <row r="84" spans="1:5" x14ac:dyDescent="0.25">
      <c r="A84" s="10">
        <v>45776</v>
      </c>
      <c r="B84" s="20">
        <v>394.04</v>
      </c>
      <c r="C84" s="12">
        <f t="shared" si="3"/>
        <v>0.73627160241333356</v>
      </c>
      <c r="D84" s="13">
        <f t="shared" si="4"/>
        <v>0.66671740527487711</v>
      </c>
      <c r="E84" s="14">
        <f t="shared" si="5"/>
        <v>0.44451209849646472</v>
      </c>
    </row>
    <row r="85" spans="1:5" x14ac:dyDescent="0.25">
      <c r="A85" s="10">
        <v>45777</v>
      </c>
      <c r="B85" s="20">
        <v>395.26</v>
      </c>
      <c r="C85" s="12">
        <f t="shared" si="3"/>
        <v>0.30961323723479095</v>
      </c>
      <c r="D85" s="13">
        <f t="shared" si="4"/>
        <v>0.24005904009633453</v>
      </c>
      <c r="E85" s="14">
        <f t="shared" si="5"/>
        <v>5.762834273197355E-2</v>
      </c>
    </row>
    <row r="86" spans="1:5" x14ac:dyDescent="0.25">
      <c r="A86" s="10">
        <v>45778</v>
      </c>
      <c r="B86" s="20">
        <v>425.4</v>
      </c>
      <c r="C86" s="12">
        <f t="shared" si="3"/>
        <v>7.6253605221879237</v>
      </c>
      <c r="D86" s="13">
        <f t="shared" si="4"/>
        <v>7.5558063250494669</v>
      </c>
      <c r="E86" s="14">
        <f t="shared" si="5"/>
        <v>57.090209221657531</v>
      </c>
    </row>
    <row r="87" spans="1:5" x14ac:dyDescent="0.25">
      <c r="A87" s="10">
        <v>45779</v>
      </c>
      <c r="B87" s="20">
        <v>435.28</v>
      </c>
      <c r="C87" s="12">
        <f t="shared" si="3"/>
        <v>2.3225199811941692</v>
      </c>
      <c r="D87" s="13">
        <f t="shared" si="4"/>
        <v>2.2529657840557129</v>
      </c>
      <c r="E87" s="14">
        <f t="shared" si="5"/>
        <v>5.0758548241257735</v>
      </c>
    </row>
    <row r="88" spans="1:5" x14ac:dyDescent="0.25">
      <c r="A88" s="10">
        <v>45782</v>
      </c>
      <c r="B88" s="20">
        <v>436.17</v>
      </c>
      <c r="C88" s="12">
        <f t="shared" si="3"/>
        <v>0.20446609079214376</v>
      </c>
      <c r="D88" s="13">
        <f t="shared" si="4"/>
        <v>0.13491189365368733</v>
      </c>
      <c r="E88" s="14">
        <f t="shared" si="5"/>
        <v>1.8201219049223841E-2</v>
      </c>
    </row>
    <row r="89" spans="1:5" x14ac:dyDescent="0.25">
      <c r="A89" s="10">
        <v>45783</v>
      </c>
      <c r="B89" s="20">
        <v>433.31</v>
      </c>
      <c r="C89" s="12">
        <f t="shared" si="3"/>
        <v>-0.65570763693055767</v>
      </c>
      <c r="D89" s="13">
        <f t="shared" si="4"/>
        <v>-0.72526183406901412</v>
      </c>
      <c r="E89" s="14">
        <f t="shared" si="5"/>
        <v>0.52600472795715014</v>
      </c>
    </row>
    <row r="90" spans="1:5" x14ac:dyDescent="0.25">
      <c r="A90" s="10">
        <v>45784</v>
      </c>
      <c r="B90" s="20">
        <v>433.35</v>
      </c>
      <c r="C90" s="12">
        <f t="shared" si="3"/>
        <v>9.2312662989592811E-3</v>
      </c>
      <c r="D90" s="13">
        <f t="shared" si="4"/>
        <v>-6.0322930839497142E-2</v>
      </c>
      <c r="E90" s="14">
        <f t="shared" si="5"/>
        <v>3.6388559850667555E-3</v>
      </c>
    </row>
    <row r="91" spans="1:5" x14ac:dyDescent="0.25">
      <c r="A91" s="10">
        <v>45785</v>
      </c>
      <c r="B91" s="20">
        <v>438.17</v>
      </c>
      <c r="C91" s="12">
        <f t="shared" si="3"/>
        <v>1.112264912887964</v>
      </c>
      <c r="D91" s="13">
        <f t="shared" si="4"/>
        <v>1.0427107157495077</v>
      </c>
      <c r="E91" s="14">
        <f t="shared" si="5"/>
        <v>1.0872456367388506</v>
      </c>
    </row>
    <row r="92" spans="1:5" x14ac:dyDescent="0.25">
      <c r="A92" s="10">
        <v>45786</v>
      </c>
      <c r="B92" s="20">
        <v>438.73</v>
      </c>
      <c r="C92" s="12">
        <f t="shared" si="3"/>
        <v>0.1278042768788375</v>
      </c>
      <c r="D92" s="13">
        <f t="shared" si="4"/>
        <v>5.8250079740381072E-2</v>
      </c>
      <c r="E92" s="14">
        <f t="shared" si="5"/>
        <v>3.3930717897607534E-3</v>
      </c>
    </row>
    <row r="93" spans="1:5" x14ac:dyDescent="0.25">
      <c r="A93" s="10">
        <v>45789</v>
      </c>
      <c r="B93" s="20">
        <v>449.26</v>
      </c>
      <c r="C93" s="12">
        <f t="shared" si="3"/>
        <v>2.4001094066965951</v>
      </c>
      <c r="D93" s="13">
        <f t="shared" si="4"/>
        <v>2.3305552095581388</v>
      </c>
      <c r="E93" s="14">
        <f t="shared" si="5"/>
        <v>5.43148758479858</v>
      </c>
    </row>
    <row r="94" spans="1:5" x14ac:dyDescent="0.25">
      <c r="A94" s="10">
        <v>45790</v>
      </c>
      <c r="B94" s="20">
        <v>449.14</v>
      </c>
      <c r="C94" s="12">
        <f t="shared" si="3"/>
        <v>-2.6710590749233085E-2</v>
      </c>
      <c r="D94" s="13">
        <f t="shared" si="4"/>
        <v>-9.626478788768951E-2</v>
      </c>
      <c r="E94" s="14">
        <f t="shared" si="5"/>
        <v>9.2669093870618533E-3</v>
      </c>
    </row>
    <row r="95" spans="1:5" x14ac:dyDescent="0.25">
      <c r="A95" s="10">
        <v>45791</v>
      </c>
      <c r="B95" s="20">
        <v>452.94</v>
      </c>
      <c r="C95" s="12">
        <f t="shared" si="3"/>
        <v>0.84606136171349944</v>
      </c>
      <c r="D95" s="13">
        <f t="shared" si="4"/>
        <v>0.77650716457504299</v>
      </c>
      <c r="E95" s="14">
        <f t="shared" si="5"/>
        <v>0.60296337663637289</v>
      </c>
    </row>
    <row r="96" spans="1:5" x14ac:dyDescent="0.25">
      <c r="A96" s="10">
        <v>45792</v>
      </c>
      <c r="B96" s="20">
        <v>453.13</v>
      </c>
      <c r="C96" s="12">
        <f t="shared" si="3"/>
        <v>4.1948160904313532E-2</v>
      </c>
      <c r="D96" s="13">
        <f t="shared" si="4"/>
        <v>-2.7606036234142893E-2</v>
      </c>
      <c r="E96" s="14">
        <f t="shared" si="5"/>
        <v>7.6209323656081037E-4</v>
      </c>
    </row>
    <row r="97" spans="1:5" x14ac:dyDescent="0.25">
      <c r="A97" s="10">
        <v>45793</v>
      </c>
      <c r="B97" s="20">
        <v>454.27</v>
      </c>
      <c r="C97" s="12">
        <f t="shared" si="3"/>
        <v>0.25158343080351919</v>
      </c>
      <c r="D97" s="13">
        <f t="shared" si="4"/>
        <v>0.18202923366506277</v>
      </c>
      <c r="E97" s="14">
        <f t="shared" si="5"/>
        <v>3.3134641908690018E-2</v>
      </c>
    </row>
    <row r="98" spans="1:5" x14ac:dyDescent="0.25">
      <c r="A98" s="10">
        <v>45796</v>
      </c>
      <c r="B98" s="20">
        <v>458.87</v>
      </c>
      <c r="C98" s="12">
        <f t="shared" si="3"/>
        <v>1.0126136438681892</v>
      </c>
      <c r="D98" s="13">
        <f t="shared" si="4"/>
        <v>0.94305944672973274</v>
      </c>
      <c r="E98" s="14">
        <f t="shared" si="5"/>
        <v>0.88936112006618961</v>
      </c>
    </row>
    <row r="99" spans="1:5" x14ac:dyDescent="0.25">
      <c r="A99" s="10">
        <v>45797</v>
      </c>
      <c r="B99" s="20">
        <v>458.17</v>
      </c>
      <c r="C99" s="12">
        <f t="shared" si="3"/>
        <v>-0.15254865212369267</v>
      </c>
      <c r="D99" s="13">
        <f t="shared" si="4"/>
        <v>-0.2221028492621491</v>
      </c>
      <c r="E99" s="14">
        <f t="shared" si="5"/>
        <v>4.9329675650364925E-2</v>
      </c>
    </row>
    <row r="100" spans="1:5" x14ac:dyDescent="0.25">
      <c r="A100" s="10">
        <v>45798</v>
      </c>
      <c r="B100" s="20">
        <v>452.57</v>
      </c>
      <c r="C100" s="12">
        <f t="shared" si="3"/>
        <v>-1.2222537486086</v>
      </c>
      <c r="D100" s="13">
        <f t="shared" si="4"/>
        <v>-1.2918079457470564</v>
      </c>
      <c r="E100" s="14">
        <f t="shared" si="5"/>
        <v>1.6687677686952298</v>
      </c>
    </row>
    <row r="101" spans="1:5" x14ac:dyDescent="0.25">
      <c r="A101" s="10">
        <v>45799</v>
      </c>
      <c r="B101" s="20">
        <v>454.86</v>
      </c>
      <c r="C101" s="12">
        <f t="shared" si="3"/>
        <v>0.50599907196677207</v>
      </c>
      <c r="D101" s="13">
        <f t="shared" si="4"/>
        <v>0.43644487482831562</v>
      </c>
      <c r="E101" s="14">
        <f t="shared" si="5"/>
        <v>0.19048412876390408</v>
      </c>
    </row>
    <row r="102" spans="1:5" x14ac:dyDescent="0.25">
      <c r="A102" s="10">
        <v>45800</v>
      </c>
      <c r="B102" s="20">
        <v>450.18</v>
      </c>
      <c r="C102" s="12">
        <f t="shared" si="3"/>
        <v>-1.0288880094974293</v>
      </c>
      <c r="D102" s="13">
        <f t="shared" si="4"/>
        <v>-1.0984422066358857</v>
      </c>
      <c r="E102" s="14">
        <f t="shared" si="5"/>
        <v>1.2065752813191137</v>
      </c>
    </row>
    <row r="103" spans="1:5" x14ac:dyDescent="0.25">
      <c r="A103" s="10">
        <v>45804</v>
      </c>
      <c r="B103" s="20">
        <v>460.69</v>
      </c>
      <c r="C103" s="12">
        <f t="shared" si="3"/>
        <v>2.3346217068728041</v>
      </c>
      <c r="D103" s="13">
        <f t="shared" si="4"/>
        <v>2.2650675097343478</v>
      </c>
      <c r="E103" s="14">
        <f t="shared" si="5"/>
        <v>5.1305308236541594</v>
      </c>
    </row>
    <row r="104" spans="1:5" x14ac:dyDescent="0.25">
      <c r="A104" s="10">
        <v>45805</v>
      </c>
      <c r="B104" s="20">
        <v>457.36</v>
      </c>
      <c r="C104" s="12">
        <f t="shared" si="3"/>
        <v>-0.72282880027784058</v>
      </c>
      <c r="D104" s="13">
        <f t="shared" si="4"/>
        <v>-0.79238299741629703</v>
      </c>
      <c r="E104" s="14">
        <f t="shared" si="5"/>
        <v>0.62787081459443539</v>
      </c>
    </row>
    <row r="105" spans="1:5" x14ac:dyDescent="0.25">
      <c r="A105" s="10">
        <v>45806</v>
      </c>
      <c r="B105" s="20">
        <v>458.68</v>
      </c>
      <c r="C105" s="12">
        <f t="shared" si="3"/>
        <v>0.28861290886828606</v>
      </c>
      <c r="D105" s="13">
        <f t="shared" si="4"/>
        <v>0.21905871172982963</v>
      </c>
      <c r="E105" s="14">
        <f t="shared" si="5"/>
        <v>4.7986719184732594E-2</v>
      </c>
    </row>
    <row r="106" spans="1:5" x14ac:dyDescent="0.25">
      <c r="A106" s="10">
        <v>45807</v>
      </c>
      <c r="B106" s="20">
        <v>460.36</v>
      </c>
      <c r="C106" s="12">
        <f t="shared" si="3"/>
        <v>0.36626842242958202</v>
      </c>
      <c r="D106" s="13">
        <f t="shared" si="4"/>
        <v>0.29671422529112557</v>
      </c>
      <c r="E106" s="14">
        <f t="shared" si="5"/>
        <v>8.8039331490112824E-2</v>
      </c>
    </row>
    <row r="107" spans="1:5" x14ac:dyDescent="0.25">
      <c r="A107" s="10">
        <v>45810</v>
      </c>
      <c r="B107" s="20">
        <v>461.97</v>
      </c>
      <c r="C107" s="12">
        <f t="shared" si="3"/>
        <v>0.34972630115562031</v>
      </c>
      <c r="D107" s="13">
        <f t="shared" si="4"/>
        <v>0.28017210401716386</v>
      </c>
      <c r="E107" s="14">
        <f t="shared" si="5"/>
        <v>7.8496407869404483E-2</v>
      </c>
    </row>
    <row r="108" spans="1:5" x14ac:dyDescent="0.25">
      <c r="A108" s="10">
        <v>45811</v>
      </c>
      <c r="B108" s="20">
        <v>462.97</v>
      </c>
      <c r="C108" s="12">
        <f t="shared" si="3"/>
        <v>0.21646427257181203</v>
      </c>
      <c r="D108" s="13">
        <f t="shared" si="4"/>
        <v>0.1469100754333556</v>
      </c>
      <c r="E108" s="14">
        <f t="shared" si="5"/>
        <v>2.1582570263834235E-2</v>
      </c>
    </row>
    <row r="109" spans="1:5" x14ac:dyDescent="0.25">
      <c r="A109" s="10">
        <v>45812</v>
      </c>
      <c r="B109" s="20">
        <v>463.87</v>
      </c>
      <c r="C109" s="12">
        <f t="shared" si="3"/>
        <v>0.19439704516490858</v>
      </c>
      <c r="D109" s="13">
        <f t="shared" si="4"/>
        <v>0.12484284802645215</v>
      </c>
      <c r="E109" s="14">
        <f t="shared" si="5"/>
        <v>1.5585736703355828E-2</v>
      </c>
    </row>
    <row r="110" spans="1:5" x14ac:dyDescent="0.25">
      <c r="A110" s="10">
        <v>45813</v>
      </c>
      <c r="B110" s="20">
        <v>467.68</v>
      </c>
      <c r="C110" s="12">
        <f t="shared" si="3"/>
        <v>0.82135080949403971</v>
      </c>
      <c r="D110" s="13">
        <f t="shared" si="4"/>
        <v>0.75179661235558326</v>
      </c>
      <c r="E110" s="14">
        <f t="shared" si="5"/>
        <v>0.56519814634933108</v>
      </c>
    </row>
    <row r="111" spans="1:5" x14ac:dyDescent="0.25">
      <c r="A111" s="10">
        <v>45814</v>
      </c>
      <c r="B111" s="20">
        <v>470.38</v>
      </c>
      <c r="C111" s="12">
        <f t="shared" si="3"/>
        <v>0.57731782415326471</v>
      </c>
      <c r="D111" s="13">
        <f t="shared" si="4"/>
        <v>0.50776362701480826</v>
      </c>
      <c r="E111" s="14">
        <f t="shared" si="5"/>
        <v>0.2578239009192333</v>
      </c>
    </row>
    <row r="112" spans="1:5" x14ac:dyDescent="0.25">
      <c r="A112" s="10">
        <v>45817</v>
      </c>
      <c r="B112" s="20">
        <v>472.75</v>
      </c>
      <c r="C112" s="12">
        <f t="shared" si="3"/>
        <v>0.50384795271907912</v>
      </c>
      <c r="D112" s="13">
        <f t="shared" si="4"/>
        <v>0.43429375558062266</v>
      </c>
      <c r="E112" s="14">
        <f t="shared" si="5"/>
        <v>0.18861106613632161</v>
      </c>
    </row>
    <row r="113" spans="1:5" x14ac:dyDescent="0.25">
      <c r="A113" s="10">
        <v>45818</v>
      </c>
      <c r="B113" s="20">
        <v>470.92</v>
      </c>
      <c r="C113" s="12">
        <f t="shared" si="3"/>
        <v>-0.38709677419354499</v>
      </c>
      <c r="D113" s="13">
        <f t="shared" si="4"/>
        <v>-0.45665097133200139</v>
      </c>
      <c r="E113" s="14">
        <f t="shared" si="5"/>
        <v>0.20853010961846036</v>
      </c>
    </row>
    <row r="114" spans="1:5" x14ac:dyDescent="0.25">
      <c r="A114" s="10">
        <v>45819</v>
      </c>
      <c r="B114" s="20">
        <v>472.62</v>
      </c>
      <c r="C114" s="12">
        <f t="shared" si="3"/>
        <v>0.36099549817378507</v>
      </c>
      <c r="D114" s="13">
        <f t="shared" si="4"/>
        <v>0.29144130103532861</v>
      </c>
      <c r="E114" s="14">
        <f t="shared" si="5"/>
        <v>8.4938031949165035E-2</v>
      </c>
    </row>
    <row r="115" spans="1:5" x14ac:dyDescent="0.25">
      <c r="A115" s="10">
        <v>45820</v>
      </c>
      <c r="B115" s="20">
        <v>478.87</v>
      </c>
      <c r="C115" s="12">
        <f t="shared" si="3"/>
        <v>1.3224154712030807</v>
      </c>
      <c r="D115" s="13">
        <f t="shared" si="4"/>
        <v>1.2528612740646243</v>
      </c>
      <c r="E115" s="14">
        <f t="shared" si="5"/>
        <v>1.5696613720508337</v>
      </c>
    </row>
    <row r="116" spans="1:5" x14ac:dyDescent="0.25">
      <c r="A116" s="10">
        <v>45821</v>
      </c>
      <c r="B116" s="20">
        <v>474.96</v>
      </c>
      <c r="C116" s="12">
        <f t="shared" si="3"/>
        <v>-0.81650552341972249</v>
      </c>
      <c r="D116" s="13">
        <f t="shared" si="4"/>
        <v>-0.88605972055817894</v>
      </c>
      <c r="E116" s="14">
        <f t="shared" si="5"/>
        <v>0.78510182839563813</v>
      </c>
    </row>
    <row r="117" spans="1:5" x14ac:dyDescent="0.25">
      <c r="A117" s="10">
        <v>45824</v>
      </c>
      <c r="B117" s="20">
        <v>479.14</v>
      </c>
      <c r="C117" s="12">
        <f t="shared" si="3"/>
        <v>0.88007411150412806</v>
      </c>
      <c r="D117" s="13">
        <f t="shared" si="4"/>
        <v>0.81051991436567161</v>
      </c>
      <c r="E117" s="14">
        <f t="shared" si="5"/>
        <v>0.6569425315833356</v>
      </c>
    </row>
    <row r="118" spans="1:5" x14ac:dyDescent="0.25">
      <c r="A118" s="10">
        <v>45825</v>
      </c>
      <c r="B118" s="20">
        <v>478.04</v>
      </c>
      <c r="C118" s="12">
        <f t="shared" si="3"/>
        <v>-0.22957799390574068</v>
      </c>
      <c r="D118" s="13">
        <f t="shared" si="4"/>
        <v>-0.29913219104419708</v>
      </c>
      <c r="E118" s="14">
        <f t="shared" si="5"/>
        <v>8.9480067718902018E-2</v>
      </c>
    </row>
    <row r="119" spans="1:5" x14ac:dyDescent="0.25">
      <c r="A119" s="10">
        <v>45826</v>
      </c>
      <c r="B119" s="20">
        <v>480.24</v>
      </c>
      <c r="C119" s="12">
        <f t="shared" si="3"/>
        <v>0.46021253451593769</v>
      </c>
      <c r="D119" s="13">
        <f t="shared" si="4"/>
        <v>0.39065833737748124</v>
      </c>
      <c r="E119" s="14">
        <f t="shared" si="5"/>
        <v>0.15261393656253794</v>
      </c>
    </row>
    <row r="120" spans="1:5" x14ac:dyDescent="0.25">
      <c r="A120" s="10">
        <v>45828</v>
      </c>
      <c r="B120" s="20">
        <v>477.4</v>
      </c>
      <c r="C120" s="12">
        <f t="shared" si="3"/>
        <v>-0.59137098117608522</v>
      </c>
      <c r="D120" s="13">
        <f t="shared" si="4"/>
        <v>-0.66092517831454167</v>
      </c>
      <c r="E120" s="14">
        <f t="shared" si="5"/>
        <v>0.43682209133010869</v>
      </c>
    </row>
    <row r="121" spans="1:5" x14ac:dyDescent="0.25">
      <c r="A121" s="10">
        <v>45831</v>
      </c>
      <c r="B121" s="20">
        <v>486</v>
      </c>
      <c r="C121" s="12">
        <f t="shared" si="3"/>
        <v>1.8014243820695484</v>
      </c>
      <c r="D121" s="13">
        <f t="shared" si="4"/>
        <v>1.731870184931092</v>
      </c>
      <c r="E121" s="14">
        <f t="shared" si="5"/>
        <v>2.9993743374532547</v>
      </c>
    </row>
    <row r="122" spans="1:5" x14ac:dyDescent="0.25">
      <c r="A122" s="10">
        <v>45832</v>
      </c>
      <c r="B122" s="20">
        <v>490.11</v>
      </c>
      <c r="C122" s="12">
        <f t="shared" si="3"/>
        <v>0.84567901234568177</v>
      </c>
      <c r="D122" s="13">
        <f t="shared" si="4"/>
        <v>0.77612481520722532</v>
      </c>
      <c r="E122" s="14">
        <f t="shared" si="5"/>
        <v>0.6023697287804497</v>
      </c>
    </row>
    <row r="123" spans="1:5" x14ac:dyDescent="0.25">
      <c r="A123" s="10">
        <v>45833</v>
      </c>
      <c r="B123" s="20">
        <v>492.27</v>
      </c>
      <c r="C123" s="12">
        <f t="shared" si="3"/>
        <v>0.44071738997367288</v>
      </c>
      <c r="D123" s="13">
        <f t="shared" si="4"/>
        <v>0.37116319283521648</v>
      </c>
      <c r="E123" s="14">
        <f t="shared" si="5"/>
        <v>0.1377621157156321</v>
      </c>
    </row>
    <row r="124" spans="1:5" x14ac:dyDescent="0.25">
      <c r="A124" s="10">
        <v>45834</v>
      </c>
      <c r="B124" s="20">
        <v>497.45</v>
      </c>
      <c r="C124" s="12">
        <f t="shared" si="3"/>
        <v>1.0522680642736724</v>
      </c>
      <c r="D124" s="13">
        <f t="shared" si="4"/>
        <v>0.98271386713521591</v>
      </c>
      <c r="E124" s="14">
        <f t="shared" si="5"/>
        <v>0.96572654465985075</v>
      </c>
    </row>
    <row r="125" spans="1:5" x14ac:dyDescent="0.25">
      <c r="A125" s="10">
        <v>45835</v>
      </c>
      <c r="B125" s="20">
        <v>495.94</v>
      </c>
      <c r="C125" s="12">
        <f t="shared" si="3"/>
        <v>-0.30354809528595655</v>
      </c>
      <c r="D125" s="13">
        <f t="shared" si="4"/>
        <v>-0.37310229242441295</v>
      </c>
      <c r="E125" s="14">
        <f t="shared" si="5"/>
        <v>0.13920532061235216</v>
      </c>
    </row>
    <row r="126" spans="1:5" x14ac:dyDescent="0.25">
      <c r="A126" s="10">
        <v>45838</v>
      </c>
      <c r="B126" s="20">
        <v>497.41</v>
      </c>
      <c r="C126" s="12">
        <f t="shared" si="3"/>
        <v>0.29640682340606272</v>
      </c>
      <c r="D126" s="13">
        <f t="shared" si="4"/>
        <v>0.2268526262676063</v>
      </c>
      <c r="E126" s="14">
        <f t="shared" si="5"/>
        <v>5.146211404451026E-2</v>
      </c>
    </row>
    <row r="127" spans="1:5" x14ac:dyDescent="0.25">
      <c r="A127" s="10">
        <v>45839</v>
      </c>
      <c r="B127" s="20">
        <v>492.05</v>
      </c>
      <c r="C127" s="12">
        <f t="shared" si="3"/>
        <v>-1.0775818741078813</v>
      </c>
      <c r="D127" s="13">
        <f t="shared" si="4"/>
        <v>-1.1471360712463377</v>
      </c>
      <c r="E127" s="14">
        <f t="shared" si="5"/>
        <v>1.3159211659544827</v>
      </c>
    </row>
    <row r="128" spans="1:5" x14ac:dyDescent="0.25">
      <c r="A128" s="10">
        <v>45840</v>
      </c>
      <c r="B128" s="20">
        <v>491.09</v>
      </c>
      <c r="C128" s="12">
        <f t="shared" si="3"/>
        <v>-0.19510212376791716</v>
      </c>
      <c r="D128" s="13">
        <f t="shared" si="4"/>
        <v>-0.26465632090637359</v>
      </c>
      <c r="E128" s="14">
        <f t="shared" si="5"/>
        <v>7.00429681956974E-2</v>
      </c>
    </row>
    <row r="129" spans="1:5" x14ac:dyDescent="0.25">
      <c r="A129" s="10">
        <v>45841</v>
      </c>
      <c r="B129" s="20">
        <v>498.84</v>
      </c>
      <c r="C129" s="12">
        <f t="shared" si="3"/>
        <v>1.5781221364719298</v>
      </c>
      <c r="D129" s="13">
        <f t="shared" si="4"/>
        <v>1.5085679393334734</v>
      </c>
      <c r="E129" s="14">
        <f t="shared" si="5"/>
        <v>2.2757772275848422</v>
      </c>
    </row>
    <row r="130" spans="1:5" x14ac:dyDescent="0.25">
      <c r="A130" s="10">
        <v>45845</v>
      </c>
      <c r="B130" s="20">
        <v>497.72</v>
      </c>
      <c r="C130" s="12">
        <f t="shared" si="3"/>
        <v>-0.22452088846121959</v>
      </c>
      <c r="D130" s="13">
        <f t="shared" si="4"/>
        <v>-0.29407508559967599</v>
      </c>
      <c r="E130" s="14">
        <f t="shared" si="5"/>
        <v>8.648015597045676E-2</v>
      </c>
    </row>
    <row r="131" spans="1:5" x14ac:dyDescent="0.25">
      <c r="A131" s="10">
        <v>45846</v>
      </c>
      <c r="B131" s="20">
        <v>496.62</v>
      </c>
      <c r="C131" s="12">
        <f t="shared" si="3"/>
        <v>-0.22100779554770203</v>
      </c>
      <c r="D131" s="13">
        <f t="shared" si="4"/>
        <v>-0.29056199268615845</v>
      </c>
      <c r="E131" s="14">
        <f t="shared" si="5"/>
        <v>8.4426271593751198E-2</v>
      </c>
    </row>
    <row r="132" spans="1:5" x14ac:dyDescent="0.25">
      <c r="A132" s="10">
        <v>45847</v>
      </c>
      <c r="B132" s="20">
        <v>503.51</v>
      </c>
      <c r="C132" s="12">
        <f t="shared" si="3"/>
        <v>1.3873786798759586</v>
      </c>
      <c r="D132" s="13">
        <f t="shared" si="4"/>
        <v>1.3178244827375023</v>
      </c>
      <c r="E132" s="14">
        <f t="shared" si="5"/>
        <v>1.7366613673023654</v>
      </c>
    </row>
    <row r="133" spans="1:5" x14ac:dyDescent="0.25">
      <c r="A133" s="10">
        <v>45848</v>
      </c>
      <c r="B133" s="20">
        <v>501.48</v>
      </c>
      <c r="C133" s="12">
        <f t="shared" si="3"/>
        <v>-0.40316974836646197</v>
      </c>
      <c r="D133" s="13">
        <f t="shared" si="4"/>
        <v>-0.47272394550491836</v>
      </c>
      <c r="E133" s="14">
        <f t="shared" si="5"/>
        <v>0.22346792865373702</v>
      </c>
    </row>
    <row r="134" spans="1:5" x14ac:dyDescent="0.25">
      <c r="A134" s="10">
        <v>45849</v>
      </c>
      <c r="B134" s="20">
        <v>503.32</v>
      </c>
      <c r="C134" s="12">
        <f t="shared" si="3"/>
        <v>0.36691393475312573</v>
      </c>
      <c r="D134" s="13">
        <f t="shared" si="4"/>
        <v>0.29735973761466927</v>
      </c>
      <c r="E134" s="14">
        <f t="shared" si="5"/>
        <v>8.8422813554264956E-2</v>
      </c>
    </row>
    <row r="135" spans="1:5" x14ac:dyDescent="0.25">
      <c r="A135" s="10">
        <v>45852</v>
      </c>
      <c r="B135" s="20">
        <v>503.02</v>
      </c>
      <c r="C135" s="12">
        <f t="shared" ref="C135:C198" si="6">((B135-B134)/B134)*100</f>
        <v>-5.9604227926569851E-2</v>
      </c>
      <c r="D135" s="13">
        <f t="shared" ref="D135:D198" si="7">C135-$J$8</f>
        <v>-0.12915842506502628</v>
      </c>
      <c r="E135" s="14">
        <f t="shared" ref="E135:E198" si="8">D135^2</f>
        <v>1.6681898765278008E-2</v>
      </c>
    </row>
    <row r="136" spans="1:5" x14ac:dyDescent="0.25">
      <c r="A136" s="10">
        <v>45853</v>
      </c>
      <c r="B136" s="20">
        <v>505.82</v>
      </c>
      <c r="C136" s="12">
        <f t="shared" si="6"/>
        <v>0.55663790704147176</v>
      </c>
      <c r="D136" s="13">
        <f t="shared" si="7"/>
        <v>0.48708370990301531</v>
      </c>
      <c r="E136" s="14">
        <f t="shared" si="8"/>
        <v>0.23725054045288477</v>
      </c>
    </row>
    <row r="137" spans="1:5" x14ac:dyDescent="0.25">
      <c r="A137" s="10">
        <v>45854</v>
      </c>
      <c r="B137" s="20">
        <v>505.62</v>
      </c>
      <c r="C137" s="12">
        <f t="shared" si="6"/>
        <v>-3.9539757225888386E-2</v>
      </c>
      <c r="D137" s="13">
        <f t="shared" si="7"/>
        <v>-0.10909395436434481</v>
      </c>
      <c r="E137" s="14">
        <f t="shared" si="8"/>
        <v>1.1901490878849749E-2</v>
      </c>
    </row>
    <row r="138" spans="1:5" x14ac:dyDescent="0.25">
      <c r="A138" s="10">
        <v>45855</v>
      </c>
      <c r="B138" s="20">
        <v>511.7</v>
      </c>
      <c r="C138" s="12">
        <f t="shared" si="6"/>
        <v>1.2024840789525699</v>
      </c>
      <c r="D138" s="13">
        <f t="shared" si="7"/>
        <v>1.1329298818141136</v>
      </c>
      <c r="E138" s="14">
        <f t="shared" si="8"/>
        <v>1.2835301171073414</v>
      </c>
    </row>
    <row r="139" spans="1:5" x14ac:dyDescent="0.25">
      <c r="A139" s="10">
        <v>45856</v>
      </c>
      <c r="B139" s="20">
        <v>510.05</v>
      </c>
      <c r="C139" s="12">
        <f t="shared" si="6"/>
        <v>-0.32245456322063265</v>
      </c>
      <c r="D139" s="13">
        <f t="shared" si="7"/>
        <v>-0.39200876035908905</v>
      </c>
      <c r="E139" s="14">
        <f t="shared" si="8"/>
        <v>0.15367086819826969</v>
      </c>
    </row>
    <row r="140" spans="1:5" x14ac:dyDescent="0.25">
      <c r="A140" s="10">
        <v>45859</v>
      </c>
      <c r="B140" s="20">
        <v>510.06</v>
      </c>
      <c r="C140" s="12">
        <f t="shared" si="6"/>
        <v>1.9605920988120585E-3</v>
      </c>
      <c r="D140" s="13">
        <f t="shared" si="7"/>
        <v>-6.7593605039644372E-2</v>
      </c>
      <c r="E140" s="14">
        <f t="shared" si="8"/>
        <v>4.568895442255437E-3</v>
      </c>
    </row>
    <row r="141" spans="1:5" x14ac:dyDescent="0.25">
      <c r="A141" s="10">
        <v>45860</v>
      </c>
      <c r="B141" s="20">
        <v>505.27</v>
      </c>
      <c r="C141" s="12">
        <f t="shared" si="6"/>
        <v>-0.9391052033094186</v>
      </c>
      <c r="D141" s="13">
        <f t="shared" si="7"/>
        <v>-1.0086594004478751</v>
      </c>
      <c r="E141" s="14">
        <f t="shared" si="8"/>
        <v>1.0173937861118667</v>
      </c>
    </row>
    <row r="142" spans="1:5" x14ac:dyDescent="0.25">
      <c r="A142" s="10">
        <v>45861</v>
      </c>
      <c r="B142" s="20">
        <v>505.87</v>
      </c>
      <c r="C142" s="12">
        <f t="shared" si="6"/>
        <v>0.11874839194886352</v>
      </c>
      <c r="D142" s="13">
        <f t="shared" si="7"/>
        <v>4.9194194810407099E-2</v>
      </c>
      <c r="E142" s="14">
        <f t="shared" si="8"/>
        <v>2.4200688030442848E-3</v>
      </c>
    </row>
    <row r="143" spans="1:5" x14ac:dyDescent="0.25">
      <c r="A143" s="10">
        <v>45862</v>
      </c>
      <c r="B143" s="20">
        <v>510.88</v>
      </c>
      <c r="C143" s="12">
        <f t="shared" si="6"/>
        <v>0.99037302073655109</v>
      </c>
      <c r="D143" s="13">
        <f t="shared" si="7"/>
        <v>0.92081882359809464</v>
      </c>
      <c r="E143" s="14">
        <f t="shared" si="8"/>
        <v>0.8479073058925789</v>
      </c>
    </row>
    <row r="144" spans="1:5" x14ac:dyDescent="0.25">
      <c r="A144" s="10">
        <v>45863</v>
      </c>
      <c r="B144" s="20">
        <v>513.71</v>
      </c>
      <c r="C144" s="12">
        <f t="shared" si="6"/>
        <v>0.55394613216411703</v>
      </c>
      <c r="D144" s="13">
        <f t="shared" si="7"/>
        <v>0.48439193502566058</v>
      </c>
      <c r="E144" s="14">
        <f t="shared" si="8"/>
        <v>0.23463554671790379</v>
      </c>
    </row>
    <row r="145" spans="1:5" x14ac:dyDescent="0.25">
      <c r="A145" s="10">
        <v>45866</v>
      </c>
      <c r="B145" s="20">
        <v>512.5</v>
      </c>
      <c r="C145" s="12">
        <f t="shared" si="6"/>
        <v>-0.23554145334917292</v>
      </c>
      <c r="D145" s="13">
        <f t="shared" si="7"/>
        <v>-0.30509565048762932</v>
      </c>
      <c r="E145" s="14">
        <f t="shared" si="8"/>
        <v>9.3083355946469673E-2</v>
      </c>
    </row>
    <row r="146" spans="1:5" x14ac:dyDescent="0.25">
      <c r="A146" s="10">
        <v>45867</v>
      </c>
      <c r="B146" s="20">
        <v>512.57000000000005</v>
      </c>
      <c r="C146" s="12">
        <f t="shared" si="6"/>
        <v>1.3658536585375613E-2</v>
      </c>
      <c r="D146" s="13">
        <f t="shared" si="7"/>
        <v>-5.589566055308081E-2</v>
      </c>
      <c r="E146" s="14">
        <f t="shared" si="8"/>
        <v>3.1243248686652343E-3</v>
      </c>
    </row>
    <row r="147" spans="1:5" x14ac:dyDescent="0.25">
      <c r="A147" s="10">
        <v>45868</v>
      </c>
      <c r="B147" s="20">
        <v>513.24</v>
      </c>
      <c r="C147" s="12">
        <f t="shared" si="6"/>
        <v>0.13071385371753302</v>
      </c>
      <c r="D147" s="13">
        <f t="shared" si="7"/>
        <v>6.1159656579076599E-2</v>
      </c>
      <c r="E147" s="14">
        <f t="shared" si="8"/>
        <v>3.7405035928705873E-3</v>
      </c>
    </row>
    <row r="148" spans="1:5" x14ac:dyDescent="0.25">
      <c r="A148" s="10">
        <v>45869</v>
      </c>
      <c r="B148" s="20">
        <v>533.5</v>
      </c>
      <c r="C148" s="12">
        <f t="shared" si="6"/>
        <v>3.9474709687475631</v>
      </c>
      <c r="D148" s="13">
        <f t="shared" si="7"/>
        <v>3.8779167716091067</v>
      </c>
      <c r="E148" s="14">
        <f t="shared" si="8"/>
        <v>15.038238487527197</v>
      </c>
    </row>
    <row r="149" spans="1:5" x14ac:dyDescent="0.25">
      <c r="A149" s="10">
        <v>45870</v>
      </c>
      <c r="B149" s="20">
        <v>524.11</v>
      </c>
      <c r="C149" s="12">
        <f t="shared" si="6"/>
        <v>-1.7600749765698194</v>
      </c>
      <c r="D149" s="13">
        <f t="shared" si="7"/>
        <v>-1.8296291737082757</v>
      </c>
      <c r="E149" s="14">
        <f t="shared" si="8"/>
        <v>3.3475429132844279</v>
      </c>
    </row>
    <row r="150" spans="1:5" x14ac:dyDescent="0.25">
      <c r="A150" s="10">
        <v>45873</v>
      </c>
      <c r="B150" s="20">
        <v>535.64</v>
      </c>
      <c r="C150" s="12">
        <f t="shared" si="6"/>
        <v>2.1999198641506501</v>
      </c>
      <c r="D150" s="13">
        <f t="shared" si="7"/>
        <v>2.1303656670121938</v>
      </c>
      <c r="E150" s="14">
        <f t="shared" si="8"/>
        <v>4.5384578751843092</v>
      </c>
    </row>
    <row r="151" spans="1:5" x14ac:dyDescent="0.25">
      <c r="A151" s="10">
        <v>45874</v>
      </c>
      <c r="B151" s="20">
        <v>527.75</v>
      </c>
      <c r="C151" s="12">
        <f t="shared" si="6"/>
        <v>-1.4730042565902446</v>
      </c>
      <c r="D151" s="13">
        <f t="shared" si="7"/>
        <v>-1.5425584537287009</v>
      </c>
      <c r="E151" s="14">
        <f t="shared" si="8"/>
        <v>2.3794865831698808</v>
      </c>
    </row>
    <row r="152" spans="1:5" x14ac:dyDescent="0.25">
      <c r="A152" s="10">
        <v>45875</v>
      </c>
      <c r="B152" s="20">
        <v>524.94000000000005</v>
      </c>
      <c r="C152" s="12">
        <f t="shared" si="6"/>
        <v>-0.53244907626716165</v>
      </c>
      <c r="D152" s="13">
        <f t="shared" si="7"/>
        <v>-0.6020032734056181</v>
      </c>
      <c r="E152" s="14">
        <f t="shared" si="8"/>
        <v>0.36240794119107939</v>
      </c>
    </row>
    <row r="153" spans="1:5" x14ac:dyDescent="0.25">
      <c r="A153" s="10">
        <v>45876</v>
      </c>
      <c r="B153" s="20">
        <v>520.84</v>
      </c>
      <c r="C153" s="12">
        <f t="shared" si="6"/>
        <v>-0.78104164285442568</v>
      </c>
      <c r="D153" s="13">
        <f t="shared" si="7"/>
        <v>-0.85059583999288213</v>
      </c>
      <c r="E153" s="14">
        <f t="shared" si="8"/>
        <v>0.72351328301319673</v>
      </c>
    </row>
    <row r="154" spans="1:5" x14ac:dyDescent="0.25">
      <c r="A154" s="10">
        <v>45877</v>
      </c>
      <c r="B154" s="20">
        <v>522.04</v>
      </c>
      <c r="C154" s="12">
        <f t="shared" si="6"/>
        <v>0.23039705091773516</v>
      </c>
      <c r="D154" s="13">
        <f t="shared" si="7"/>
        <v>0.16084285377927873</v>
      </c>
      <c r="E154" s="14">
        <f t="shared" si="8"/>
        <v>2.5870423611862439E-2</v>
      </c>
    </row>
    <row r="155" spans="1:5" x14ac:dyDescent="0.25">
      <c r="A155" s="10">
        <v>45880</v>
      </c>
      <c r="B155" s="20">
        <v>521.77</v>
      </c>
      <c r="C155" s="12">
        <f t="shared" si="6"/>
        <v>-5.1720174699253281E-2</v>
      </c>
      <c r="D155" s="13">
        <f t="shared" si="7"/>
        <v>-0.1212743718377097</v>
      </c>
      <c r="E155" s="14">
        <f t="shared" si="8"/>
        <v>1.4707473264631076E-2</v>
      </c>
    </row>
    <row r="156" spans="1:5" x14ac:dyDescent="0.25">
      <c r="A156" s="10">
        <v>45881</v>
      </c>
      <c r="B156" s="20">
        <v>529.24</v>
      </c>
      <c r="C156" s="12">
        <f t="shared" si="6"/>
        <v>1.4316652931368281</v>
      </c>
      <c r="D156" s="13">
        <f t="shared" si="7"/>
        <v>1.3621110959983718</v>
      </c>
      <c r="E156" s="14">
        <f t="shared" si="8"/>
        <v>1.8553466378418855</v>
      </c>
    </row>
    <row r="157" spans="1:5" x14ac:dyDescent="0.25">
      <c r="A157" s="10">
        <v>45882</v>
      </c>
      <c r="B157" s="20">
        <v>520.58000000000004</v>
      </c>
      <c r="C157" s="12">
        <f t="shared" si="6"/>
        <v>-1.6363086690348365</v>
      </c>
      <c r="D157" s="13">
        <f t="shared" si="7"/>
        <v>-1.7058628661732929</v>
      </c>
      <c r="E157" s="14">
        <f t="shared" si="8"/>
        <v>2.9099681181889618</v>
      </c>
    </row>
    <row r="158" spans="1:5" x14ac:dyDescent="0.25">
      <c r="A158" s="10">
        <v>45883</v>
      </c>
      <c r="B158" s="20">
        <v>522.48</v>
      </c>
      <c r="C158" s="12">
        <f t="shared" si="6"/>
        <v>0.36497752506818876</v>
      </c>
      <c r="D158" s="13">
        <f t="shared" si="7"/>
        <v>0.29542332792973236</v>
      </c>
      <c r="E158" s="14">
        <f t="shared" si="8"/>
        <v>8.7274942685078183E-2</v>
      </c>
    </row>
    <row r="159" spans="1:5" x14ac:dyDescent="0.25">
      <c r="A159" s="10">
        <v>45884</v>
      </c>
      <c r="B159" s="20">
        <v>520.16999999999996</v>
      </c>
      <c r="C159" s="12">
        <f t="shared" si="6"/>
        <v>-0.44212218649518814</v>
      </c>
      <c r="D159" s="13">
        <f t="shared" si="7"/>
        <v>-0.51167638363364454</v>
      </c>
      <c r="E159" s="14">
        <f t="shared" si="8"/>
        <v>0.26181272156840457</v>
      </c>
    </row>
    <row r="160" spans="1:5" x14ac:dyDescent="0.25">
      <c r="A160" s="10">
        <v>45887</v>
      </c>
      <c r="B160" s="20">
        <v>517.1</v>
      </c>
      <c r="C160" s="12">
        <f t="shared" si="6"/>
        <v>-0.59019166810849077</v>
      </c>
      <c r="D160" s="13">
        <f t="shared" si="7"/>
        <v>-0.65974586524694723</v>
      </c>
      <c r="E160" s="14">
        <f t="shared" si="8"/>
        <v>0.43526460671044304</v>
      </c>
    </row>
    <row r="161" spans="1:5" x14ac:dyDescent="0.25">
      <c r="A161" s="10">
        <v>45888</v>
      </c>
      <c r="B161" s="20">
        <v>509.77</v>
      </c>
      <c r="C161" s="12">
        <f t="shared" si="6"/>
        <v>-1.417520789015672</v>
      </c>
      <c r="D161" s="13">
        <f t="shared" si="7"/>
        <v>-1.4870749861541284</v>
      </c>
      <c r="E161" s="14">
        <f t="shared" si="8"/>
        <v>2.211392014445301</v>
      </c>
    </row>
    <row r="162" spans="1:5" x14ac:dyDescent="0.25">
      <c r="A162" s="10">
        <v>45889</v>
      </c>
      <c r="B162" s="20">
        <v>505.72</v>
      </c>
      <c r="C162" s="12">
        <f t="shared" si="6"/>
        <v>-0.79447594012985356</v>
      </c>
      <c r="D162" s="13">
        <f t="shared" si="7"/>
        <v>-0.86403013726831002</v>
      </c>
      <c r="E162" s="14">
        <f t="shared" si="8"/>
        <v>0.7465480781078947</v>
      </c>
    </row>
    <row r="163" spans="1:5" x14ac:dyDescent="0.25">
      <c r="A163" s="10">
        <v>45890</v>
      </c>
      <c r="B163" s="20">
        <v>504.24</v>
      </c>
      <c r="C163" s="12">
        <f t="shared" si="6"/>
        <v>-0.29265206042869929</v>
      </c>
      <c r="D163" s="13">
        <f t="shared" si="7"/>
        <v>-0.36220625756715574</v>
      </c>
      <c r="E163" s="14">
        <f t="shared" si="8"/>
        <v>0.13119337302080478</v>
      </c>
    </row>
    <row r="164" spans="1:5" x14ac:dyDescent="0.25">
      <c r="A164" s="10">
        <v>45891</v>
      </c>
      <c r="B164" s="20">
        <v>507.23</v>
      </c>
      <c r="C164" s="12">
        <f t="shared" si="6"/>
        <v>0.59297160082500577</v>
      </c>
      <c r="D164" s="13">
        <f t="shared" si="7"/>
        <v>0.52341740368654932</v>
      </c>
      <c r="E164" s="14">
        <f t="shared" si="8"/>
        <v>0.27396577848196813</v>
      </c>
    </row>
    <row r="165" spans="1:5" x14ac:dyDescent="0.25">
      <c r="A165" s="10">
        <v>45894</v>
      </c>
      <c r="B165" s="20">
        <v>504.26</v>
      </c>
      <c r="C165" s="12">
        <f t="shared" si="6"/>
        <v>-0.58553319007157056</v>
      </c>
      <c r="D165" s="13">
        <f t="shared" si="7"/>
        <v>-0.65508738721002702</v>
      </c>
      <c r="E165" s="14">
        <f t="shared" si="8"/>
        <v>0.42913948488165987</v>
      </c>
    </row>
    <row r="166" spans="1:5" x14ac:dyDescent="0.25">
      <c r="A166" s="10">
        <v>45895</v>
      </c>
      <c r="B166" s="20">
        <v>502.04</v>
      </c>
      <c r="C166" s="12">
        <f t="shared" si="6"/>
        <v>-0.44024907785665546</v>
      </c>
      <c r="D166" s="13">
        <f t="shared" si="7"/>
        <v>-0.50980327499511191</v>
      </c>
      <c r="E166" s="14">
        <f t="shared" si="8"/>
        <v>0.25989937919574169</v>
      </c>
    </row>
    <row r="167" spans="1:5" x14ac:dyDescent="0.25">
      <c r="A167" s="10">
        <v>45896</v>
      </c>
      <c r="B167" s="20">
        <v>506.74</v>
      </c>
      <c r="C167" s="12">
        <f t="shared" si="6"/>
        <v>0.93618038403314241</v>
      </c>
      <c r="D167" s="13">
        <f t="shared" si="7"/>
        <v>0.86662618689468596</v>
      </c>
      <c r="E167" s="14">
        <f t="shared" si="8"/>
        <v>0.75104094781162312</v>
      </c>
    </row>
    <row r="168" spans="1:5" x14ac:dyDescent="0.25">
      <c r="A168" s="10">
        <v>45897</v>
      </c>
      <c r="B168" s="20">
        <v>509.64</v>
      </c>
      <c r="C168" s="12">
        <f t="shared" si="6"/>
        <v>0.57228559024351289</v>
      </c>
      <c r="D168" s="13">
        <f t="shared" si="7"/>
        <v>0.50273139310505643</v>
      </c>
      <c r="E168" s="14">
        <f t="shared" si="8"/>
        <v>0.2527388536133508</v>
      </c>
    </row>
    <row r="169" spans="1:5" x14ac:dyDescent="0.25">
      <c r="A169" s="10">
        <v>45898</v>
      </c>
      <c r="B169" s="20">
        <v>506.69</v>
      </c>
      <c r="C169" s="12">
        <f t="shared" si="6"/>
        <v>-0.57883996546581673</v>
      </c>
      <c r="D169" s="13">
        <f t="shared" si="7"/>
        <v>-0.64839416260427318</v>
      </c>
      <c r="E169" s="14">
        <f t="shared" si="8"/>
        <v>0.42041499009929667</v>
      </c>
    </row>
    <row r="170" spans="1:5" x14ac:dyDescent="0.25">
      <c r="A170" s="10">
        <v>45902</v>
      </c>
      <c r="B170" s="20">
        <v>505.12</v>
      </c>
      <c r="C170" s="12">
        <f t="shared" si="6"/>
        <v>-0.30985415145355011</v>
      </c>
      <c r="D170" s="13">
        <f t="shared" si="7"/>
        <v>-0.37940834859200656</v>
      </c>
      <c r="E170" s="14">
        <f t="shared" si="8"/>
        <v>0.14395069498131358</v>
      </c>
    </row>
    <row r="171" spans="1:5" x14ac:dyDescent="0.25">
      <c r="A171" s="10">
        <v>45903</v>
      </c>
      <c r="B171" s="20">
        <v>505.35</v>
      </c>
      <c r="C171" s="12">
        <f t="shared" si="6"/>
        <v>4.5533734558128404E-2</v>
      </c>
      <c r="D171" s="13">
        <f t="shared" si="7"/>
        <v>-2.4020462580328021E-2</v>
      </c>
      <c r="E171" s="14">
        <f t="shared" si="8"/>
        <v>5.769826225729387E-4</v>
      </c>
    </row>
    <row r="172" spans="1:5" x14ac:dyDescent="0.25">
      <c r="A172" s="10">
        <v>45904</v>
      </c>
      <c r="B172" s="20">
        <v>507.97</v>
      </c>
      <c r="C172" s="12">
        <f t="shared" si="6"/>
        <v>0.51845255763332432</v>
      </c>
      <c r="D172" s="13">
        <f t="shared" si="7"/>
        <v>0.44889836049486787</v>
      </c>
      <c r="E172" s="14">
        <f t="shared" si="8"/>
        <v>0.20150973805498035</v>
      </c>
    </row>
    <row r="173" spans="1:5" x14ac:dyDescent="0.25">
      <c r="A173" s="10">
        <v>45905</v>
      </c>
      <c r="B173" s="20">
        <v>495</v>
      </c>
      <c r="C173" s="12">
        <f t="shared" si="6"/>
        <v>-2.5533003917554238</v>
      </c>
      <c r="D173" s="13">
        <f t="shared" si="7"/>
        <v>-2.6228545888938801</v>
      </c>
      <c r="E173" s="14">
        <f t="shared" si="8"/>
        <v>6.8793661944816851</v>
      </c>
    </row>
    <row r="174" spans="1:5" x14ac:dyDescent="0.25">
      <c r="A174" s="10">
        <v>45908</v>
      </c>
      <c r="B174" s="20">
        <v>498.2</v>
      </c>
      <c r="C174" s="12">
        <f t="shared" si="6"/>
        <v>0.64646464646464419</v>
      </c>
      <c r="D174" s="13">
        <f t="shared" si="7"/>
        <v>0.57691044932618774</v>
      </c>
      <c r="E174" s="14">
        <f t="shared" si="8"/>
        <v>0.33282566654174384</v>
      </c>
    </row>
    <row r="175" spans="1:5" x14ac:dyDescent="0.25">
      <c r="A175" s="10">
        <v>45909</v>
      </c>
      <c r="B175" s="20">
        <v>498.41</v>
      </c>
      <c r="C175" s="12">
        <f t="shared" si="6"/>
        <v>4.2151746286639181E-2</v>
      </c>
      <c r="D175" s="13">
        <f t="shared" si="7"/>
        <v>-2.7402450851817244E-2</v>
      </c>
      <c r="E175" s="14">
        <f t="shared" si="8"/>
        <v>7.5089431268625959E-4</v>
      </c>
    </row>
    <row r="176" spans="1:5" x14ac:dyDescent="0.25">
      <c r="A176" s="10">
        <v>45910</v>
      </c>
      <c r="B176" s="20">
        <v>500.37</v>
      </c>
      <c r="C176" s="12">
        <f t="shared" si="6"/>
        <v>0.39325053670672327</v>
      </c>
      <c r="D176" s="13">
        <f t="shared" si="7"/>
        <v>0.32369633956826682</v>
      </c>
      <c r="E176" s="14">
        <f t="shared" si="8"/>
        <v>0.1047793202498947</v>
      </c>
    </row>
    <row r="177" spans="1:5" x14ac:dyDescent="0.25">
      <c r="A177" s="10">
        <v>45911</v>
      </c>
      <c r="B177" s="20">
        <v>501.01</v>
      </c>
      <c r="C177" s="12">
        <f t="shared" si="6"/>
        <v>0.12790535004096695</v>
      </c>
      <c r="D177" s="13">
        <f t="shared" si="7"/>
        <v>5.8351152902510528E-2</v>
      </c>
      <c r="E177" s="14">
        <f t="shared" si="8"/>
        <v>3.4048570450521628E-3</v>
      </c>
    </row>
    <row r="178" spans="1:5" x14ac:dyDescent="0.25">
      <c r="A178" s="10">
        <v>45912</v>
      </c>
      <c r="B178" s="20">
        <v>509.9</v>
      </c>
      <c r="C178" s="12">
        <f t="shared" si="6"/>
        <v>1.7744156803257392</v>
      </c>
      <c r="D178" s="13">
        <f t="shared" si="7"/>
        <v>1.7048614831872828</v>
      </c>
      <c r="E178" s="14">
        <f t="shared" si="8"/>
        <v>2.9065526768555419</v>
      </c>
    </row>
    <row r="179" spans="1:5" x14ac:dyDescent="0.25">
      <c r="A179" s="10">
        <v>45915</v>
      </c>
      <c r="B179" s="20">
        <v>515.36</v>
      </c>
      <c r="C179" s="12">
        <f t="shared" si="6"/>
        <v>1.0707981957246591</v>
      </c>
      <c r="D179" s="13">
        <f t="shared" si="7"/>
        <v>1.0012439985862027</v>
      </c>
      <c r="E179" s="14">
        <f t="shared" si="8"/>
        <v>1.0024895447048878</v>
      </c>
    </row>
    <row r="180" spans="1:5" x14ac:dyDescent="0.25">
      <c r="A180" s="10">
        <v>45916</v>
      </c>
      <c r="B180" s="20">
        <v>509.04</v>
      </c>
      <c r="C180" s="12">
        <f t="shared" si="6"/>
        <v>-1.2263272275690766</v>
      </c>
      <c r="D180" s="13">
        <f t="shared" si="7"/>
        <v>-1.295881424707533</v>
      </c>
      <c r="E180" s="14">
        <f t="shared" si="8"/>
        <v>1.6793086669020254</v>
      </c>
    </row>
    <row r="181" spans="1:5" x14ac:dyDescent="0.25">
      <c r="A181" s="10">
        <v>45917</v>
      </c>
      <c r="B181" s="20">
        <v>510.02</v>
      </c>
      <c r="C181" s="12">
        <f t="shared" si="6"/>
        <v>0.19251925192518493</v>
      </c>
      <c r="D181" s="13">
        <f t="shared" si="7"/>
        <v>0.12296505478672851</v>
      </c>
      <c r="E181" s="14">
        <f t="shared" si="8"/>
        <v>1.5120404698703143E-2</v>
      </c>
    </row>
    <row r="182" spans="1:5" x14ac:dyDescent="0.25">
      <c r="A182" s="10">
        <v>45918</v>
      </c>
      <c r="B182" s="20">
        <v>508.45</v>
      </c>
      <c r="C182" s="12">
        <f t="shared" si="6"/>
        <v>-0.30783106544841249</v>
      </c>
      <c r="D182" s="13">
        <f t="shared" si="7"/>
        <v>-0.37738526258686889</v>
      </c>
      <c r="E182" s="14">
        <f t="shared" si="8"/>
        <v>0.14241963641775998</v>
      </c>
    </row>
    <row r="183" spans="1:5" x14ac:dyDescent="0.25">
      <c r="A183" s="10">
        <v>45919</v>
      </c>
      <c r="B183" s="20">
        <v>517.92999999999995</v>
      </c>
      <c r="C183" s="12">
        <f t="shared" si="6"/>
        <v>1.8644901170223154</v>
      </c>
      <c r="D183" s="13">
        <f t="shared" si="7"/>
        <v>1.794935919883859</v>
      </c>
      <c r="E183" s="14">
        <f t="shared" si="8"/>
        <v>3.2217949564893154</v>
      </c>
    </row>
    <row r="184" spans="1:5" x14ac:dyDescent="0.25">
      <c r="A184" s="10">
        <v>45922</v>
      </c>
      <c r="B184" s="20">
        <v>514.45000000000005</v>
      </c>
      <c r="C184" s="12">
        <f t="shared" si="6"/>
        <v>-0.67190546985111976</v>
      </c>
      <c r="D184" s="13">
        <f t="shared" si="7"/>
        <v>-0.74145966698957622</v>
      </c>
      <c r="E184" s="14">
        <f t="shared" si="8"/>
        <v>0.54976243777229328</v>
      </c>
    </row>
    <row r="185" spans="1:5" x14ac:dyDescent="0.25">
      <c r="A185" s="10">
        <v>45923</v>
      </c>
      <c r="B185" s="20">
        <v>509.23</v>
      </c>
      <c r="C185" s="12">
        <f t="shared" si="6"/>
        <v>-1.0146758674312424</v>
      </c>
      <c r="D185" s="13">
        <f t="shared" si="7"/>
        <v>-1.0842300645696987</v>
      </c>
      <c r="E185" s="14">
        <f t="shared" si="8"/>
        <v>1.1755548329168131</v>
      </c>
    </row>
    <row r="186" spans="1:5" x14ac:dyDescent="0.25">
      <c r="A186" s="10">
        <v>45924</v>
      </c>
      <c r="B186" s="20">
        <v>510.15</v>
      </c>
      <c r="C186" s="12">
        <f t="shared" si="6"/>
        <v>0.1806649254757102</v>
      </c>
      <c r="D186" s="13">
        <f t="shared" si="7"/>
        <v>0.11111072833725377</v>
      </c>
      <c r="E186" s="14">
        <f t="shared" si="8"/>
        <v>1.2345593951635009E-2</v>
      </c>
    </row>
    <row r="187" spans="1:5" x14ac:dyDescent="0.25">
      <c r="A187" s="10">
        <v>45925</v>
      </c>
      <c r="B187" s="20">
        <v>507.03</v>
      </c>
      <c r="C187" s="12">
        <f t="shared" si="6"/>
        <v>-0.61158482799176805</v>
      </c>
      <c r="D187" s="13">
        <f t="shared" si="7"/>
        <v>-0.68113902513022451</v>
      </c>
      <c r="E187" s="14">
        <f t="shared" si="8"/>
        <v>0.46395037155535263</v>
      </c>
    </row>
    <row r="188" spans="1:5" x14ac:dyDescent="0.25">
      <c r="A188" s="10">
        <v>45926</v>
      </c>
      <c r="B188" s="20">
        <v>511.46</v>
      </c>
      <c r="C188" s="12">
        <f t="shared" si="6"/>
        <v>0.87371555923712729</v>
      </c>
      <c r="D188" s="13">
        <f t="shared" si="7"/>
        <v>0.80416136209867084</v>
      </c>
      <c r="E188" s="14">
        <f t="shared" si="8"/>
        <v>0.64667549629238963</v>
      </c>
    </row>
    <row r="189" spans="1:5" x14ac:dyDescent="0.25">
      <c r="A189" s="10">
        <v>45929</v>
      </c>
      <c r="B189" s="20">
        <v>514.6</v>
      </c>
      <c r="C189" s="12">
        <f t="shared" si="6"/>
        <v>0.61392875298166882</v>
      </c>
      <c r="D189" s="13">
        <f t="shared" si="7"/>
        <v>0.54437455584321237</v>
      </c>
      <c r="E189" s="14">
        <f t="shared" si="8"/>
        <v>0.29634365704949472</v>
      </c>
    </row>
    <row r="190" spans="1:5" x14ac:dyDescent="0.25">
      <c r="A190" s="10">
        <v>45930</v>
      </c>
      <c r="B190" s="20">
        <v>517.95000000000005</v>
      </c>
      <c r="C190" s="12">
        <f t="shared" si="6"/>
        <v>0.65099106101827098</v>
      </c>
      <c r="D190" s="13">
        <f t="shared" si="7"/>
        <v>0.58143686387981453</v>
      </c>
      <c r="E190" s="14">
        <f t="shared" si="8"/>
        <v>0.33806882667839394</v>
      </c>
    </row>
    <row r="191" spans="1:5" x14ac:dyDescent="0.25">
      <c r="A191" s="10">
        <v>45931</v>
      </c>
      <c r="B191" s="20">
        <v>519.71</v>
      </c>
      <c r="C191" s="12">
        <f t="shared" si="6"/>
        <v>0.33980113910608956</v>
      </c>
      <c r="D191" s="13">
        <f t="shared" si="7"/>
        <v>0.2702469419676331</v>
      </c>
      <c r="E191" s="14">
        <f t="shared" si="8"/>
        <v>7.3033409642857261E-2</v>
      </c>
    </row>
    <row r="192" spans="1:5" x14ac:dyDescent="0.25">
      <c r="A192" s="10">
        <v>45932</v>
      </c>
      <c r="B192" s="20">
        <v>515.74</v>
      </c>
      <c r="C192" s="12">
        <f t="shared" si="6"/>
        <v>-0.76388755267361164</v>
      </c>
      <c r="D192" s="13">
        <f t="shared" si="7"/>
        <v>-0.83344174981206809</v>
      </c>
      <c r="E192" s="14">
        <f t="shared" si="8"/>
        <v>0.69462515032980188</v>
      </c>
    </row>
    <row r="193" spans="1:5" x14ac:dyDescent="0.25">
      <c r="A193" s="10">
        <v>45933</v>
      </c>
      <c r="B193" s="20">
        <v>517.35</v>
      </c>
      <c r="C193" s="12">
        <f t="shared" si="6"/>
        <v>0.31217280024818966</v>
      </c>
      <c r="D193" s="13">
        <f t="shared" si="7"/>
        <v>0.24261860310973324</v>
      </c>
      <c r="E193" s="14">
        <f t="shared" si="8"/>
        <v>5.886378657491826E-2</v>
      </c>
    </row>
    <row r="194" spans="1:5" x14ac:dyDescent="0.25">
      <c r="A194" s="10">
        <v>45936</v>
      </c>
      <c r="B194" s="20">
        <v>528.57000000000005</v>
      </c>
      <c r="C194" s="12">
        <f t="shared" si="6"/>
        <v>2.1687445636416407</v>
      </c>
      <c r="D194" s="13">
        <f t="shared" si="7"/>
        <v>2.0991903665031844</v>
      </c>
      <c r="E194" s="14">
        <f t="shared" si="8"/>
        <v>4.4066001948197737</v>
      </c>
    </row>
    <row r="195" spans="1:5" x14ac:dyDescent="0.25">
      <c r="A195" s="10">
        <v>45937</v>
      </c>
      <c r="B195" s="20">
        <v>523.98</v>
      </c>
      <c r="C195" s="12">
        <f t="shared" si="6"/>
        <v>-0.86838072535331767</v>
      </c>
      <c r="D195" s="13">
        <f t="shared" si="7"/>
        <v>-0.93793492249177413</v>
      </c>
      <c r="E195" s="14">
        <f t="shared" si="8"/>
        <v>0.87972191882965034</v>
      </c>
    </row>
    <row r="196" spans="1:5" x14ac:dyDescent="0.25">
      <c r="A196" s="10">
        <v>45938</v>
      </c>
      <c r="B196" s="20">
        <v>524.85</v>
      </c>
      <c r="C196" s="12">
        <f t="shared" si="6"/>
        <v>0.16603687163632286</v>
      </c>
      <c r="D196" s="13">
        <f t="shared" si="7"/>
        <v>9.6482674497866433E-2</v>
      </c>
      <c r="E196" s="14">
        <f t="shared" si="8"/>
        <v>9.3089064782612453E-3</v>
      </c>
    </row>
    <row r="197" spans="1:5" x14ac:dyDescent="0.25">
      <c r="A197" s="10">
        <v>45939</v>
      </c>
      <c r="B197" s="20">
        <v>522.4</v>
      </c>
      <c r="C197" s="12">
        <f t="shared" si="6"/>
        <v>-0.46680003810613419</v>
      </c>
      <c r="D197" s="13">
        <f t="shared" si="7"/>
        <v>-0.53635423524459058</v>
      </c>
      <c r="E197" s="14">
        <f t="shared" si="8"/>
        <v>0.28767586566480963</v>
      </c>
    </row>
    <row r="198" spans="1:5" x14ac:dyDescent="0.25">
      <c r="A198" s="10">
        <v>45940</v>
      </c>
      <c r="B198" s="20">
        <v>510.96</v>
      </c>
      <c r="C198" s="12">
        <f t="shared" si="6"/>
        <v>-2.1898928024502293</v>
      </c>
      <c r="D198" s="13">
        <f t="shared" si="7"/>
        <v>-2.2594469995886857</v>
      </c>
      <c r="E198" s="14">
        <f t="shared" si="8"/>
        <v>5.105100743950314</v>
      </c>
    </row>
    <row r="199" spans="1:5" x14ac:dyDescent="0.25">
      <c r="A199" s="10">
        <v>45943</v>
      </c>
      <c r="B199" s="20">
        <v>514.04999999999995</v>
      </c>
      <c r="C199" s="12">
        <f t="shared" ref="C199:C254" si="9">((B199-B198)/B198)*100</f>
        <v>0.60474401127289323</v>
      </c>
      <c r="D199" s="13">
        <f t="shared" ref="D199:D254" si="10">C199-$J$8</f>
        <v>0.53518981413443678</v>
      </c>
      <c r="E199" s="14">
        <f t="shared" ref="E199:E254" si="11">D199^2</f>
        <v>0.28642813715325299</v>
      </c>
    </row>
    <row r="200" spans="1:5" x14ac:dyDescent="0.25">
      <c r="A200" s="10">
        <v>45944</v>
      </c>
      <c r="B200" s="20">
        <v>513.57000000000005</v>
      </c>
      <c r="C200" s="12">
        <f t="shared" si="9"/>
        <v>-9.3376130726564449E-2</v>
      </c>
      <c r="D200" s="13">
        <f t="shared" si="10"/>
        <v>-0.16293032786502087</v>
      </c>
      <c r="E200" s="14">
        <f t="shared" si="11"/>
        <v>2.6546291738203196E-2</v>
      </c>
    </row>
    <row r="201" spans="1:5" x14ac:dyDescent="0.25">
      <c r="A201" s="10">
        <v>45945</v>
      </c>
      <c r="B201" s="20">
        <v>513.42999999999995</v>
      </c>
      <c r="C201" s="12">
        <f t="shared" si="9"/>
        <v>-2.7260159277235824E-2</v>
      </c>
      <c r="D201" s="13">
        <f t="shared" si="10"/>
        <v>-9.6814356415692249E-2</v>
      </c>
      <c r="E201" s="14">
        <f t="shared" si="11"/>
        <v>9.3730196081846916E-3</v>
      </c>
    </row>
    <row r="202" spans="1:5" x14ac:dyDescent="0.25">
      <c r="A202" s="10">
        <v>45946</v>
      </c>
      <c r="B202" s="20">
        <v>511.61</v>
      </c>
      <c r="C202" s="12">
        <f t="shared" si="9"/>
        <v>-0.35447870206258625</v>
      </c>
      <c r="D202" s="13">
        <f t="shared" si="10"/>
        <v>-0.4240328992010427</v>
      </c>
      <c r="E202" s="14">
        <f t="shared" si="11"/>
        <v>0.17980389960484164</v>
      </c>
    </row>
    <row r="203" spans="1:5" x14ac:dyDescent="0.25">
      <c r="A203" s="10">
        <v>45947</v>
      </c>
      <c r="B203" s="20">
        <v>513.58000000000004</v>
      </c>
      <c r="C203" s="12">
        <f t="shared" si="9"/>
        <v>0.38505893160806615</v>
      </c>
      <c r="D203" s="13">
        <f t="shared" si="10"/>
        <v>0.31550473446960969</v>
      </c>
      <c r="E203" s="14">
        <f t="shared" si="11"/>
        <v>9.9543237472738924E-2</v>
      </c>
    </row>
    <row r="204" spans="1:5" x14ac:dyDescent="0.25">
      <c r="A204" s="10">
        <v>45950</v>
      </c>
      <c r="B204" s="20">
        <v>516.79</v>
      </c>
      <c r="C204" s="12">
        <f t="shared" si="9"/>
        <v>0.62502433895399401</v>
      </c>
      <c r="D204" s="13">
        <f t="shared" si="10"/>
        <v>0.55547014181553755</v>
      </c>
      <c r="E204" s="14">
        <f t="shared" si="11"/>
        <v>0.30854707844857338</v>
      </c>
    </row>
    <row r="205" spans="1:5" x14ac:dyDescent="0.25">
      <c r="A205" s="10">
        <v>45951</v>
      </c>
      <c r="B205" s="20">
        <v>517.66</v>
      </c>
      <c r="C205" s="12">
        <f t="shared" si="9"/>
        <v>0.16834691073743777</v>
      </c>
      <c r="D205" s="13">
        <f t="shared" si="10"/>
        <v>9.8792713598981341E-2</v>
      </c>
      <c r="E205" s="14">
        <f t="shared" si="11"/>
        <v>9.7600002602503521E-3</v>
      </c>
    </row>
    <row r="206" spans="1:5" x14ac:dyDescent="0.25">
      <c r="A206" s="10">
        <v>45952</v>
      </c>
      <c r="B206" s="20">
        <v>520.54</v>
      </c>
      <c r="C206" s="12">
        <f t="shared" si="9"/>
        <v>0.55634972762044499</v>
      </c>
      <c r="D206" s="13">
        <f t="shared" si="10"/>
        <v>0.48679553048198854</v>
      </c>
      <c r="E206" s="14">
        <f t="shared" si="11"/>
        <v>0.23696988849724063</v>
      </c>
    </row>
    <row r="207" spans="1:5" x14ac:dyDescent="0.25">
      <c r="A207" s="10">
        <v>45953</v>
      </c>
      <c r="B207" s="20">
        <v>520.55999999999995</v>
      </c>
      <c r="C207" s="12">
        <f t="shared" si="9"/>
        <v>3.8421639067087662E-3</v>
      </c>
      <c r="D207" s="13">
        <f t="shared" si="10"/>
        <v>-6.5712033231747652E-2</v>
      </c>
      <c r="E207" s="14">
        <f t="shared" si="11"/>
        <v>4.318071311450308E-3</v>
      </c>
    </row>
    <row r="208" spans="1:5" x14ac:dyDescent="0.25">
      <c r="A208" s="10">
        <v>45954</v>
      </c>
      <c r="B208" s="20">
        <v>523.61</v>
      </c>
      <c r="C208" s="12">
        <f t="shared" si="9"/>
        <v>0.5859074842477463</v>
      </c>
      <c r="D208" s="13">
        <f t="shared" si="10"/>
        <v>0.51635328710928985</v>
      </c>
      <c r="E208" s="14">
        <f t="shared" si="11"/>
        <v>0.26662071710856872</v>
      </c>
    </row>
    <row r="209" spans="1:5" x14ac:dyDescent="0.25">
      <c r="A209" s="10">
        <v>45957</v>
      </c>
      <c r="B209" s="20">
        <v>531.52</v>
      </c>
      <c r="C209" s="12">
        <f t="shared" si="9"/>
        <v>1.5106663356314753</v>
      </c>
      <c r="D209" s="13">
        <f t="shared" si="10"/>
        <v>1.441112138493019</v>
      </c>
      <c r="E209" s="14">
        <f t="shared" si="11"/>
        <v>2.0768041957119223</v>
      </c>
    </row>
    <row r="210" spans="1:5" x14ac:dyDescent="0.25">
      <c r="A210" s="10">
        <v>45958</v>
      </c>
      <c r="B210" s="20">
        <v>542.07000000000005</v>
      </c>
      <c r="C210" s="12">
        <f t="shared" si="9"/>
        <v>1.9848735701384839</v>
      </c>
      <c r="D210" s="13">
        <f t="shared" si="10"/>
        <v>1.9153193730000275</v>
      </c>
      <c r="E210" s="14">
        <f t="shared" si="11"/>
        <v>3.6684483005892186</v>
      </c>
    </row>
    <row r="211" spans="1:5" x14ac:dyDescent="0.25">
      <c r="A211" s="10">
        <v>45959</v>
      </c>
      <c r="B211" s="20">
        <v>541.54999999999995</v>
      </c>
      <c r="C211" s="12">
        <f t="shared" si="9"/>
        <v>-9.59285701108889E-2</v>
      </c>
      <c r="D211" s="13">
        <f t="shared" si="10"/>
        <v>-0.16548276724934533</v>
      </c>
      <c r="E211" s="14">
        <f t="shared" si="11"/>
        <v>2.7384546256500997E-2</v>
      </c>
    </row>
    <row r="212" spans="1:5" x14ac:dyDescent="0.25">
      <c r="A212" s="10">
        <v>45960</v>
      </c>
      <c r="B212" s="20">
        <v>525.76</v>
      </c>
      <c r="C212" s="12">
        <f t="shared" si="9"/>
        <v>-2.915704921059914</v>
      </c>
      <c r="D212" s="13">
        <f t="shared" si="10"/>
        <v>-2.9852591181983703</v>
      </c>
      <c r="E212" s="14">
        <f t="shared" si="11"/>
        <v>8.9117720027865115</v>
      </c>
    </row>
    <row r="213" spans="1:5" x14ac:dyDescent="0.25">
      <c r="A213" s="10">
        <v>45961</v>
      </c>
      <c r="B213" s="20">
        <v>517.80999999999995</v>
      </c>
      <c r="C213" s="12">
        <f t="shared" si="9"/>
        <v>-1.5120967741935571</v>
      </c>
      <c r="D213" s="13">
        <f t="shared" si="10"/>
        <v>-1.5816509713320135</v>
      </c>
      <c r="E213" s="14">
        <f t="shared" si="11"/>
        <v>2.5016197951155017</v>
      </c>
    </row>
    <row r="214" spans="1:5" x14ac:dyDescent="0.25">
      <c r="A214" s="10">
        <v>45964</v>
      </c>
      <c r="B214" s="20">
        <v>517.03</v>
      </c>
      <c r="C214" s="12">
        <f t="shared" si="9"/>
        <v>-0.1506344025800917</v>
      </c>
      <c r="D214" s="13">
        <f t="shared" si="10"/>
        <v>-0.22018859971854812</v>
      </c>
      <c r="E214" s="14">
        <f t="shared" si="11"/>
        <v>4.8483019446015012E-2</v>
      </c>
    </row>
    <row r="215" spans="1:5" x14ac:dyDescent="0.25">
      <c r="A215" s="10">
        <v>45965</v>
      </c>
      <c r="B215" s="20">
        <v>514.33000000000004</v>
      </c>
      <c r="C215" s="12">
        <f t="shared" si="9"/>
        <v>-0.5222134112140363</v>
      </c>
      <c r="D215" s="13">
        <f t="shared" si="10"/>
        <v>-0.59176760835249276</v>
      </c>
      <c r="E215" s="14">
        <f t="shared" si="11"/>
        <v>0.35018890229522925</v>
      </c>
    </row>
    <row r="216" spans="1:5" x14ac:dyDescent="0.25">
      <c r="A216" s="10">
        <v>45966</v>
      </c>
      <c r="B216" s="20">
        <v>507.16</v>
      </c>
      <c r="C216" s="12">
        <f t="shared" si="9"/>
        <v>-1.3940466237629567</v>
      </c>
      <c r="D216" s="13">
        <f t="shared" si="10"/>
        <v>-1.4636008209014131</v>
      </c>
      <c r="E216" s="14">
        <f t="shared" si="11"/>
        <v>2.1421273629432904</v>
      </c>
    </row>
    <row r="217" spans="1:5" x14ac:dyDescent="0.25">
      <c r="A217" s="10">
        <v>45967</v>
      </c>
      <c r="B217" s="20">
        <v>497.1</v>
      </c>
      <c r="C217" s="12">
        <f t="shared" si="9"/>
        <v>-1.983594920735074</v>
      </c>
      <c r="D217" s="13">
        <f t="shared" si="10"/>
        <v>-2.0531491178735304</v>
      </c>
      <c r="E217" s="14">
        <f t="shared" si="11"/>
        <v>4.2154213002248557</v>
      </c>
    </row>
    <row r="218" spans="1:5" x14ac:dyDescent="0.25">
      <c r="A218" s="10">
        <v>45968</v>
      </c>
      <c r="B218" s="20">
        <v>496.82</v>
      </c>
      <c r="C218" s="12">
        <f t="shared" si="9"/>
        <v>-5.6326694830020028E-2</v>
      </c>
      <c r="D218" s="13">
        <f t="shared" si="10"/>
        <v>-0.12588089196847646</v>
      </c>
      <c r="E218" s="14">
        <f t="shared" si="11"/>
        <v>1.5845998962779242E-2</v>
      </c>
    </row>
    <row r="219" spans="1:5" x14ac:dyDescent="0.25">
      <c r="A219" s="10">
        <v>45971</v>
      </c>
      <c r="B219" s="20">
        <v>506</v>
      </c>
      <c r="C219" s="12">
        <f t="shared" si="9"/>
        <v>1.8477517008171986</v>
      </c>
      <c r="D219" s="13">
        <f t="shared" si="10"/>
        <v>1.7781975036787423</v>
      </c>
      <c r="E219" s="14">
        <f t="shared" si="11"/>
        <v>3.1619863620893107</v>
      </c>
    </row>
    <row r="220" spans="1:5" x14ac:dyDescent="0.25">
      <c r="A220" s="10">
        <v>45972</v>
      </c>
      <c r="B220" s="20">
        <v>508.68</v>
      </c>
      <c r="C220" s="12">
        <f t="shared" si="9"/>
        <v>0.52964426877470483</v>
      </c>
      <c r="D220" s="13">
        <f t="shared" si="10"/>
        <v>0.46009007163624838</v>
      </c>
      <c r="E220" s="14">
        <f t="shared" si="11"/>
        <v>0.21168287401824817</v>
      </c>
    </row>
    <row r="221" spans="1:5" x14ac:dyDescent="0.25">
      <c r="A221" s="10">
        <v>45973</v>
      </c>
      <c r="B221" s="20">
        <v>511.14</v>
      </c>
      <c r="C221" s="12">
        <f t="shared" si="9"/>
        <v>0.48360462373200819</v>
      </c>
      <c r="D221" s="13">
        <f t="shared" si="10"/>
        <v>0.41405042659355173</v>
      </c>
      <c r="E221" s="14">
        <f t="shared" si="11"/>
        <v>0.17143775576230216</v>
      </c>
    </row>
    <row r="222" spans="1:5" x14ac:dyDescent="0.25">
      <c r="A222" s="10">
        <v>45974</v>
      </c>
      <c r="B222" s="20">
        <v>503.29</v>
      </c>
      <c r="C222" s="12">
        <f t="shared" si="9"/>
        <v>-1.535782760104857</v>
      </c>
      <c r="D222" s="13">
        <f t="shared" si="10"/>
        <v>-1.6053369572433134</v>
      </c>
      <c r="E222" s="14">
        <f t="shared" si="11"/>
        <v>2.5771067462912196</v>
      </c>
    </row>
    <row r="223" spans="1:5" x14ac:dyDescent="0.25">
      <c r="A223" s="10">
        <v>45975</v>
      </c>
      <c r="B223" s="20">
        <v>510.18</v>
      </c>
      <c r="C223" s="12">
        <f t="shared" si="9"/>
        <v>1.3689920324266298</v>
      </c>
      <c r="D223" s="13">
        <f t="shared" si="10"/>
        <v>1.2994378352881735</v>
      </c>
      <c r="E223" s="14">
        <f t="shared" si="11"/>
        <v>1.6885386877784143</v>
      </c>
    </row>
    <row r="224" spans="1:5" x14ac:dyDescent="0.25">
      <c r="A224" s="10">
        <v>45978</v>
      </c>
      <c r="B224" s="20">
        <v>507.49</v>
      </c>
      <c r="C224" s="12">
        <f t="shared" si="9"/>
        <v>-0.52726488690266138</v>
      </c>
      <c r="D224" s="13">
        <f t="shared" si="10"/>
        <v>-0.59681908404111783</v>
      </c>
      <c r="E224" s="14">
        <f t="shared" si="11"/>
        <v>0.35619301907567885</v>
      </c>
    </row>
    <row r="225" spans="1:5" x14ac:dyDescent="0.25">
      <c r="A225" s="10">
        <v>45979</v>
      </c>
      <c r="B225" s="20">
        <v>493.79</v>
      </c>
      <c r="C225" s="12">
        <f t="shared" si="9"/>
        <v>-2.699560582474529</v>
      </c>
      <c r="D225" s="13">
        <f t="shared" si="10"/>
        <v>-2.7691147796129854</v>
      </c>
      <c r="E225" s="14">
        <f t="shared" si="11"/>
        <v>7.6679966626710723</v>
      </c>
    </row>
    <row r="226" spans="1:5" x14ac:dyDescent="0.25">
      <c r="A226" s="10">
        <v>45980</v>
      </c>
      <c r="B226" s="20">
        <v>487.12</v>
      </c>
      <c r="C226" s="12">
        <f t="shared" si="9"/>
        <v>-1.3507766459426105</v>
      </c>
      <c r="D226" s="13">
        <f t="shared" si="10"/>
        <v>-1.4203308430810668</v>
      </c>
      <c r="E226" s="14">
        <f t="shared" si="11"/>
        <v>2.0173397038073739</v>
      </c>
    </row>
    <row r="227" spans="1:5" x14ac:dyDescent="0.25">
      <c r="A227" s="10">
        <v>45981</v>
      </c>
      <c r="B227" s="20">
        <v>478.43</v>
      </c>
      <c r="C227" s="12">
        <f t="shared" si="9"/>
        <v>-1.7839546723599928</v>
      </c>
      <c r="D227" s="13">
        <f t="shared" si="10"/>
        <v>-1.8535088694984492</v>
      </c>
      <c r="E227" s="14">
        <f t="shared" si="11"/>
        <v>3.4354951293094191</v>
      </c>
    </row>
    <row r="228" spans="1:5" x14ac:dyDescent="0.25">
      <c r="A228" s="10">
        <v>45982</v>
      </c>
      <c r="B228" s="20">
        <v>472.12</v>
      </c>
      <c r="C228" s="12">
        <f t="shared" si="9"/>
        <v>-1.3188972263445022</v>
      </c>
      <c r="D228" s="13">
        <f t="shared" si="10"/>
        <v>-1.3884514234829586</v>
      </c>
      <c r="E228" s="14">
        <f t="shared" si="11"/>
        <v>1.9277973553718539</v>
      </c>
    </row>
    <row r="229" spans="1:5" x14ac:dyDescent="0.25">
      <c r="A229" s="10">
        <v>45985</v>
      </c>
      <c r="B229" s="20">
        <v>474</v>
      </c>
      <c r="C229" s="12">
        <f t="shared" si="9"/>
        <v>0.39820384647970763</v>
      </c>
      <c r="D229" s="13">
        <f t="shared" si="10"/>
        <v>0.32864964934125118</v>
      </c>
      <c r="E229" s="14">
        <f t="shared" si="11"/>
        <v>0.10801059201212736</v>
      </c>
    </row>
    <row r="230" spans="1:5" x14ac:dyDescent="0.25">
      <c r="A230" s="10">
        <v>45986</v>
      </c>
      <c r="B230" s="20">
        <v>476.99</v>
      </c>
      <c r="C230" s="12">
        <f t="shared" si="9"/>
        <v>0.63080168776371504</v>
      </c>
      <c r="D230" s="13">
        <f t="shared" si="10"/>
        <v>0.56124749062525858</v>
      </c>
      <c r="E230" s="14">
        <f t="shared" si="11"/>
        <v>0.31499874573314973</v>
      </c>
    </row>
    <row r="231" spans="1:5" x14ac:dyDescent="0.25">
      <c r="A231" s="10">
        <v>45987</v>
      </c>
      <c r="B231" s="20">
        <v>485.5</v>
      </c>
      <c r="C231" s="12">
        <f t="shared" si="9"/>
        <v>1.7841044885636994</v>
      </c>
      <c r="D231" s="13">
        <f t="shared" si="10"/>
        <v>1.7145502914252431</v>
      </c>
      <c r="E231" s="14">
        <f t="shared" si="11"/>
        <v>2.9396827018263858</v>
      </c>
    </row>
    <row r="232" spans="1:5" x14ac:dyDescent="0.25">
      <c r="A232" s="10">
        <v>45989</v>
      </c>
      <c r="B232" s="20">
        <v>492.01</v>
      </c>
      <c r="C232" s="12">
        <f t="shared" si="9"/>
        <v>1.3408856848609663</v>
      </c>
      <c r="D232" s="13">
        <f t="shared" si="10"/>
        <v>1.2713314877225099</v>
      </c>
      <c r="E232" s="14">
        <f t="shared" si="11"/>
        <v>1.6162837516747304</v>
      </c>
    </row>
    <row r="233" spans="1:5" x14ac:dyDescent="0.25">
      <c r="A233" s="10">
        <v>45992</v>
      </c>
      <c r="B233" s="20">
        <v>486.74</v>
      </c>
      <c r="C233" s="12">
        <f t="shared" si="9"/>
        <v>-1.0711164407227458</v>
      </c>
      <c r="D233" s="13">
        <f t="shared" si="10"/>
        <v>-1.1406706378612022</v>
      </c>
      <c r="E233" s="14">
        <f t="shared" si="11"/>
        <v>1.3011295040786819</v>
      </c>
    </row>
    <row r="234" spans="1:5" x14ac:dyDescent="0.25">
      <c r="A234" s="10">
        <v>45993</v>
      </c>
      <c r="B234" s="20">
        <v>490</v>
      </c>
      <c r="C234" s="12">
        <f t="shared" si="9"/>
        <v>0.66976209064387371</v>
      </c>
      <c r="D234" s="13">
        <f t="shared" si="10"/>
        <v>0.60020789350541726</v>
      </c>
      <c r="E234" s="14">
        <f t="shared" si="11"/>
        <v>0.36024951542621031</v>
      </c>
    </row>
    <row r="235" spans="1:5" x14ac:dyDescent="0.25">
      <c r="A235" s="10">
        <v>45994</v>
      </c>
      <c r="B235" s="20">
        <v>477.73</v>
      </c>
      <c r="C235" s="12">
        <f t="shared" si="9"/>
        <v>-2.5040816326530573</v>
      </c>
      <c r="D235" s="13">
        <f t="shared" si="10"/>
        <v>-2.5736358297915136</v>
      </c>
      <c r="E235" s="14">
        <f t="shared" si="11"/>
        <v>6.623601384386653</v>
      </c>
    </row>
    <row r="236" spans="1:5" x14ac:dyDescent="0.25">
      <c r="A236" s="10">
        <v>45995</v>
      </c>
      <c r="B236" s="20">
        <v>480.84</v>
      </c>
      <c r="C236" s="12">
        <f t="shared" si="9"/>
        <v>0.65099533209133964</v>
      </c>
      <c r="D236" s="13">
        <f t="shared" si="10"/>
        <v>0.58144113495288319</v>
      </c>
      <c r="E236" s="14">
        <f t="shared" si="11"/>
        <v>0.33807379341529692</v>
      </c>
    </row>
    <row r="237" spans="1:5" x14ac:dyDescent="0.25">
      <c r="A237" s="10">
        <v>45996</v>
      </c>
      <c r="B237" s="20">
        <v>483.16</v>
      </c>
      <c r="C237" s="12">
        <f t="shared" si="9"/>
        <v>0.48248897762250442</v>
      </c>
      <c r="D237" s="13">
        <f t="shared" si="10"/>
        <v>0.41293478048404797</v>
      </c>
      <c r="E237" s="14">
        <f t="shared" si="11"/>
        <v>0.17051513293340889</v>
      </c>
    </row>
    <row r="238" spans="1:5" x14ac:dyDescent="0.25">
      <c r="A238" s="10">
        <v>45999</v>
      </c>
      <c r="B238" s="20">
        <v>491.02</v>
      </c>
      <c r="C238" s="12">
        <f t="shared" si="9"/>
        <v>1.6267902972100248</v>
      </c>
      <c r="D238" s="13">
        <f t="shared" si="10"/>
        <v>1.5572361000715684</v>
      </c>
      <c r="E238" s="14">
        <f t="shared" si="11"/>
        <v>2.4249842713661081</v>
      </c>
    </row>
    <row r="239" spans="1:5" x14ac:dyDescent="0.25">
      <c r="A239" s="10">
        <v>46000</v>
      </c>
      <c r="B239" s="20">
        <v>492.02</v>
      </c>
      <c r="C239" s="12">
        <f t="shared" si="9"/>
        <v>0.20365769215103255</v>
      </c>
      <c r="D239" s="13">
        <f t="shared" si="10"/>
        <v>0.13410349501257612</v>
      </c>
      <c r="E239" s="14">
        <f t="shared" si="11"/>
        <v>1.7983747374588029E-2</v>
      </c>
    </row>
    <row r="240" spans="1:5" x14ac:dyDescent="0.25">
      <c r="A240" s="10">
        <v>46001</v>
      </c>
      <c r="B240" s="20">
        <v>478.56</v>
      </c>
      <c r="C240" s="12">
        <f t="shared" si="9"/>
        <v>-2.7356611519856875</v>
      </c>
      <c r="D240" s="13">
        <f t="shared" si="10"/>
        <v>-2.8052153491241438</v>
      </c>
      <c r="E240" s="14">
        <f t="shared" si="11"/>
        <v>7.8692331549616918</v>
      </c>
    </row>
    <row r="241" spans="1:5" x14ac:dyDescent="0.25">
      <c r="A241" s="10">
        <v>46002</v>
      </c>
      <c r="B241" s="20">
        <v>483.47</v>
      </c>
      <c r="C241" s="12">
        <f t="shared" si="9"/>
        <v>1.0259946506185276</v>
      </c>
      <c r="D241" s="13">
        <f t="shared" si="10"/>
        <v>0.95644045348007112</v>
      </c>
      <c r="E241" s="14">
        <f t="shared" si="11"/>
        <v>0.91477834105316413</v>
      </c>
    </row>
    <row r="242" spans="1:5" x14ac:dyDescent="0.25">
      <c r="A242" s="10">
        <v>46003</v>
      </c>
      <c r="B242" s="20">
        <v>478.53</v>
      </c>
      <c r="C242" s="12">
        <f t="shared" si="9"/>
        <v>-1.0217800484001187</v>
      </c>
      <c r="D242" s="13">
        <f t="shared" si="10"/>
        <v>-1.0913342455385751</v>
      </c>
      <c r="E242" s="14">
        <f t="shared" si="11"/>
        <v>1.1910104354852509</v>
      </c>
    </row>
    <row r="243" spans="1:5" x14ac:dyDescent="0.25">
      <c r="A243" s="10">
        <v>46006</v>
      </c>
      <c r="B243" s="20">
        <v>474.82</v>
      </c>
      <c r="C243" s="12">
        <f t="shared" si="9"/>
        <v>-0.77529099533989088</v>
      </c>
      <c r="D243" s="13">
        <f t="shared" si="10"/>
        <v>-0.84484519247834733</v>
      </c>
      <c r="E243" s="14">
        <f t="shared" si="11"/>
        <v>0.71376339925377574</v>
      </c>
    </row>
    <row r="244" spans="1:5" x14ac:dyDescent="0.25">
      <c r="A244" s="10">
        <v>46007</v>
      </c>
      <c r="B244" s="20">
        <v>476.39</v>
      </c>
      <c r="C244" s="12">
        <f t="shared" si="9"/>
        <v>0.33065161534897292</v>
      </c>
      <c r="D244" s="13">
        <f t="shared" si="10"/>
        <v>0.26109741821051646</v>
      </c>
      <c r="E244" s="14">
        <f t="shared" si="11"/>
        <v>6.8171861796197331E-2</v>
      </c>
    </row>
    <row r="245" spans="1:5" x14ac:dyDescent="0.25">
      <c r="A245" s="10">
        <v>46008</v>
      </c>
      <c r="B245" s="20">
        <v>476.12</v>
      </c>
      <c r="C245" s="12">
        <f t="shared" si="9"/>
        <v>-5.6676252650135775E-2</v>
      </c>
      <c r="D245" s="13">
        <f t="shared" si="10"/>
        <v>-0.12623044978859221</v>
      </c>
      <c r="E245" s="14">
        <f t="shared" si="11"/>
        <v>1.59341264538303E-2</v>
      </c>
    </row>
    <row r="246" spans="1:5" x14ac:dyDescent="0.25">
      <c r="A246" s="10">
        <v>46009</v>
      </c>
      <c r="B246" s="20">
        <v>483.98</v>
      </c>
      <c r="C246" s="12">
        <f t="shared" si="9"/>
        <v>1.650844324960097</v>
      </c>
      <c r="D246" s="13">
        <f t="shared" si="10"/>
        <v>1.5812901278216407</v>
      </c>
      <c r="E246" s="14">
        <f t="shared" si="11"/>
        <v>2.5004784683461807</v>
      </c>
    </row>
    <row r="247" spans="1:5" x14ac:dyDescent="0.25">
      <c r="A247" s="10">
        <v>46010</v>
      </c>
      <c r="B247" s="20">
        <v>485.92</v>
      </c>
      <c r="C247" s="12">
        <f t="shared" si="9"/>
        <v>0.40084301004173672</v>
      </c>
      <c r="D247" s="13">
        <f t="shared" si="10"/>
        <v>0.33128881290328027</v>
      </c>
      <c r="E247" s="14">
        <f t="shared" si="11"/>
        <v>0.10975227755486464</v>
      </c>
    </row>
    <row r="248" spans="1:5" x14ac:dyDescent="0.25">
      <c r="A248" s="10">
        <v>46013</v>
      </c>
      <c r="B248" s="20">
        <v>484.92</v>
      </c>
      <c r="C248" s="12">
        <f t="shared" si="9"/>
        <v>-0.20579519262430029</v>
      </c>
      <c r="D248" s="13">
        <f t="shared" si="10"/>
        <v>-0.27534938976275669</v>
      </c>
      <c r="E248" s="14">
        <f t="shared" si="11"/>
        <v>7.5817286442722495E-2</v>
      </c>
    </row>
    <row r="249" spans="1:5" x14ac:dyDescent="0.25">
      <c r="A249" s="10">
        <v>46014</v>
      </c>
      <c r="B249" s="20">
        <v>486.85</v>
      </c>
      <c r="C249" s="12">
        <f t="shared" si="9"/>
        <v>0.39800379444032141</v>
      </c>
      <c r="D249" s="13">
        <f t="shared" si="10"/>
        <v>0.32844959730186496</v>
      </c>
      <c r="E249" s="14">
        <f t="shared" si="11"/>
        <v>0.10787913796775726</v>
      </c>
    </row>
    <row r="250" spans="1:5" x14ac:dyDescent="0.25">
      <c r="A250" s="10">
        <v>46015</v>
      </c>
      <c r="B250" s="20">
        <v>488.02</v>
      </c>
      <c r="C250" s="12">
        <f t="shared" si="9"/>
        <v>0.24032042723630664</v>
      </c>
      <c r="D250" s="13">
        <f t="shared" si="10"/>
        <v>0.17076623009785022</v>
      </c>
      <c r="E250" s="14">
        <f t="shared" si="11"/>
        <v>2.9161105341831927E-2</v>
      </c>
    </row>
    <row r="251" spans="1:5" x14ac:dyDescent="0.25">
      <c r="A251" s="10">
        <v>46017</v>
      </c>
      <c r="B251" s="20">
        <v>487.71</v>
      </c>
      <c r="C251" s="12">
        <f t="shared" si="9"/>
        <v>-6.3521986803819985E-2</v>
      </c>
      <c r="D251" s="13">
        <f t="shared" si="10"/>
        <v>-0.13307618394227641</v>
      </c>
      <c r="E251" s="14">
        <f t="shared" si="11"/>
        <v>1.7709270732638584E-2</v>
      </c>
    </row>
    <row r="252" spans="1:5" x14ac:dyDescent="0.25">
      <c r="A252" s="10">
        <v>46020</v>
      </c>
      <c r="B252" s="20">
        <v>487.1</v>
      </c>
      <c r="C252" s="12">
        <f t="shared" si="9"/>
        <v>-0.12507432695658419</v>
      </c>
      <c r="D252" s="13">
        <f t="shared" si="10"/>
        <v>-0.19462852409504061</v>
      </c>
      <c r="E252" s="14">
        <f t="shared" si="11"/>
        <v>3.7880262391413802E-2</v>
      </c>
    </row>
    <row r="253" spans="1:5" x14ac:dyDescent="0.25">
      <c r="A253" s="10">
        <v>46021</v>
      </c>
      <c r="B253" s="20">
        <v>487.48</v>
      </c>
      <c r="C253" s="12">
        <f t="shared" si="9"/>
        <v>7.8012728392526265E-2</v>
      </c>
      <c r="D253" s="13">
        <f t="shared" si="10"/>
        <v>8.4585312540698399E-3</v>
      </c>
      <c r="E253" s="14">
        <f t="shared" si="11"/>
        <v>7.1546750976076296E-5</v>
      </c>
    </row>
    <row r="254" spans="1:5" x14ac:dyDescent="0.25">
      <c r="A254" s="15">
        <v>46022</v>
      </c>
      <c r="B254" s="21">
        <v>483.62</v>
      </c>
      <c r="C254" s="16">
        <f t="shared" si="9"/>
        <v>-0.79182735701977791</v>
      </c>
      <c r="D254" s="17">
        <f t="shared" si="10"/>
        <v>-0.86138155415823436</v>
      </c>
      <c r="E254" s="18">
        <f t="shared" si="11"/>
        <v>0.74197818184405528</v>
      </c>
    </row>
  </sheetData>
  <mergeCells count="3">
    <mergeCell ref="A1:E2"/>
    <mergeCell ref="I15:M18"/>
    <mergeCell ref="I20:M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 Stock Price History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2026-04-16T07:53:51Z</dcterms:created>
  <dcterms:modified xsi:type="dcterms:W3CDTF">2026-04-17T15:56:45Z</dcterms:modified>
</cp:coreProperties>
</file>